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bivas_10732876_ltimindtree_com/Documents/Desktop/WORK/CODE/PYTHON/DATA/WEALTH/"/>
    </mc:Choice>
  </mc:AlternateContent>
  <xr:revisionPtr revIDLastSave="45" documentId="8_{39E9278B-C99E-41F9-BE23-4B5A20D3EDA2}" xr6:coauthVersionLast="47" xr6:coauthVersionMax="47" xr10:uidLastSave="{D6DA4661-94A5-4286-99B9-79EBFB6C4F26}"/>
  <bookViews>
    <workbookView xWindow="-108" yWindow="-108" windowWidth="23256" windowHeight="12456" xr2:uid="{923D1239-9DE6-4D13-9787-F9A3FF476585}"/>
  </bookViews>
  <sheets>
    <sheet name="CLIENT" sheetId="1" r:id="rId1"/>
  </sheets>
  <definedNames>
    <definedName name="_xlnm._FilterDatabase" localSheetId="0" hidden="1">CLIENT!$A$1:$AF$52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2" i="1"/>
</calcChain>
</file>

<file path=xl/sharedStrings.xml><?xml version="1.0" encoding="utf-8"?>
<sst xmlns="http://schemas.openxmlformats.org/spreadsheetml/2006/main" count="920" uniqueCount="369">
  <si>
    <t>Individual</t>
  </si>
  <si>
    <t>Engineer Consultant</t>
  </si>
  <si>
    <t>Patrick</t>
  </si>
  <si>
    <t>Brady</t>
  </si>
  <si>
    <t>M</t>
  </si>
  <si>
    <t>ND</t>
  </si>
  <si>
    <t>E</t>
  </si>
  <si>
    <t>Target</t>
  </si>
  <si>
    <t>USA</t>
  </si>
  <si>
    <t>patrick.j.brady@target.com</t>
  </si>
  <si>
    <t>612-328-9872</t>
  </si>
  <si>
    <t>Executive VP, Chief Information Officer</t>
  </si>
  <si>
    <t>Michael</t>
  </si>
  <si>
    <t>McNamara</t>
  </si>
  <si>
    <t>michael.mcnamara@target.com</t>
  </si>
  <si>
    <t xml:space="preserve"> (612) 304-6073</t>
  </si>
  <si>
    <t>Sr. Business Intelligence Developer</t>
  </si>
  <si>
    <t>Dragan</t>
  </si>
  <si>
    <t>Zivkovic</t>
  </si>
  <si>
    <t>Staples</t>
  </si>
  <si>
    <t>dragan.zivkovic@staples.com</t>
  </si>
  <si>
    <t>859-647-5885</t>
  </si>
  <si>
    <t>Sr DBA</t>
  </si>
  <si>
    <t>sangeeth</t>
  </si>
  <si>
    <t>talluri</t>
  </si>
  <si>
    <t>The Home Depot</t>
  </si>
  <si>
    <t>sangeeth_talluri@homedepot.com</t>
  </si>
  <si>
    <t>+1 860-726-6183</t>
  </si>
  <si>
    <t>Senior Oracle Developer</t>
  </si>
  <si>
    <t>Srikanth</t>
  </si>
  <si>
    <t>Mondepu</t>
  </si>
  <si>
    <t>Restoration Hardware</t>
  </si>
  <si>
    <t>smondepu@restorationhardware.com</t>
  </si>
  <si>
    <t>+1 408-805-9266</t>
  </si>
  <si>
    <t>Sr.Oracle DBA</t>
  </si>
  <si>
    <t>Vinod</t>
  </si>
  <si>
    <t>Siram</t>
  </si>
  <si>
    <t>Sephora</t>
  </si>
  <si>
    <t>vinod.siram@sephora.com</t>
  </si>
  <si>
    <t>+1 703-663-0999</t>
  </si>
  <si>
    <t>IT Architect</t>
  </si>
  <si>
    <t>Francis</t>
  </si>
  <si>
    <t>Adekunle</t>
  </si>
  <si>
    <t>francis_adekunle@homedepot.com</t>
  </si>
  <si>
    <t>Staff Software Engineer</t>
  </si>
  <si>
    <t>Ajay</t>
  </si>
  <si>
    <t>Arora</t>
  </si>
  <si>
    <t>ajay_arora@homedepot.com</t>
  </si>
  <si>
    <t>Vice President, CRM &amp; BI Technology</t>
  </si>
  <si>
    <t>Wouleta</t>
  </si>
  <si>
    <t>Ayele</t>
  </si>
  <si>
    <t>Starbucks</t>
  </si>
  <si>
    <t>wayele@starbucks.com</t>
  </si>
  <si>
    <t xml:space="preserve"> (206) 318-6725</t>
  </si>
  <si>
    <t>Vice President, Global Technology Business Systems Development</t>
  </si>
  <si>
    <t>Raman</t>
  </si>
  <si>
    <t>Bukkapatnam</t>
  </si>
  <si>
    <t>raman.bukkapatnam@starbucks.com</t>
  </si>
  <si>
    <t xml:space="preserve"> (206) 318-7532</t>
  </si>
  <si>
    <t>Vice President, Enterprise Collaboration</t>
  </si>
  <si>
    <t>Debra</t>
  </si>
  <si>
    <t>Ely</t>
  </si>
  <si>
    <t>dely@starbucks.com</t>
  </si>
  <si>
    <t xml:space="preserve"> (206) 318-5121</t>
  </si>
  <si>
    <t>Senior VP, Business Technology</t>
  </si>
  <si>
    <t>Chris</t>
  </si>
  <si>
    <t>Fallon</t>
  </si>
  <si>
    <t>cfallon@starbucks.com</t>
  </si>
  <si>
    <t xml:space="preserve"> (206) 318-5691</t>
  </si>
  <si>
    <t>Vice President, Digital API &amp; Platform</t>
  </si>
  <si>
    <t>Matt</t>
  </si>
  <si>
    <t>Fitch</t>
  </si>
  <si>
    <t>mfitch@starbucks.com</t>
  </si>
  <si>
    <t xml:space="preserve"> (206) 318-7287</t>
  </si>
  <si>
    <t>Joint</t>
  </si>
  <si>
    <t>Janet</t>
  </si>
  <si>
    <t>Landers</t>
  </si>
  <si>
    <t>jlanders@starbucks.com</t>
  </si>
  <si>
    <t xml:space="preserve"> (206) 318-6536</t>
  </si>
  <si>
    <t>Vice President, International Technology Alignment</t>
  </si>
  <si>
    <t>Keith</t>
  </si>
  <si>
    <t>Meador</t>
  </si>
  <si>
    <t>kmeador@starbucks.com</t>
  </si>
  <si>
    <t xml:space="preserve"> (206) 318-6995</t>
  </si>
  <si>
    <t>Vice President, Technology (Finance &amp; Supply Chain Systems)</t>
  </si>
  <si>
    <t>Andrew</t>
  </si>
  <si>
    <t>Stopherd</t>
  </si>
  <si>
    <t>andrew.stopherd@starbucks.com</t>
  </si>
  <si>
    <t xml:space="preserve"> (206) 318-4616</t>
  </si>
  <si>
    <t>IT Manager</t>
  </si>
  <si>
    <t>Abhijit</t>
  </si>
  <si>
    <t>Ray</t>
  </si>
  <si>
    <t>Tapestry</t>
  </si>
  <si>
    <t>aray@katespade.com</t>
  </si>
  <si>
    <t>201-295-7570</t>
  </si>
  <si>
    <t>Solution Architect</t>
  </si>
  <si>
    <t>Kunwardeep</t>
  </si>
  <si>
    <t>Singh</t>
  </si>
  <si>
    <t>CAD</t>
  </si>
  <si>
    <t>Kunwardeep_Singh@homedepot.com</t>
  </si>
  <si>
    <t>647-995-0647</t>
  </si>
  <si>
    <t>Engineering Manager</t>
  </si>
  <si>
    <t>KRITHIKA</t>
  </si>
  <si>
    <t>BALASUBRAMANIAN</t>
  </si>
  <si>
    <t>F</t>
  </si>
  <si>
    <t>krithika_balasubramanian@homedepot.com</t>
  </si>
  <si>
    <t>Sr. Operations Business Analyst</t>
  </si>
  <si>
    <t>Mac</t>
  </si>
  <si>
    <t>Jadacki</t>
  </si>
  <si>
    <t>mac_jadacki@homedepot.com</t>
  </si>
  <si>
    <t>Briget</t>
  </si>
  <si>
    <t>Phung</t>
  </si>
  <si>
    <t>brigetphung@gmail.com</t>
  </si>
  <si>
    <t>Leader Financial Applicaitons</t>
  </si>
  <si>
    <t>Kamana</t>
  </si>
  <si>
    <t>ksingh1@restorationhardware.com</t>
  </si>
  <si>
    <t>Security Analyst</t>
  </si>
  <si>
    <t>Munoz</t>
  </si>
  <si>
    <t>Ross Stores</t>
  </si>
  <si>
    <t>chris.munoz@ros.com</t>
  </si>
  <si>
    <t>+1 925-468-1117</t>
  </si>
  <si>
    <t>Nanarao</t>
  </si>
  <si>
    <t>Ravipati</t>
  </si>
  <si>
    <t>nanarao@gmail.com</t>
  </si>
  <si>
    <t>Subba</t>
  </si>
  <si>
    <t>Vadrevu</t>
  </si>
  <si>
    <t>subba.vadrevu@sephora.com</t>
  </si>
  <si>
    <t>Pawana</t>
  </si>
  <si>
    <t>Paul</t>
  </si>
  <si>
    <t>pawana.paul@sephora.com</t>
  </si>
  <si>
    <t>DBA</t>
  </si>
  <si>
    <t>Chang</t>
  </si>
  <si>
    <t>ULTA Beauty</t>
  </si>
  <si>
    <t>pchang@ulta.com</t>
  </si>
  <si>
    <t>+1 630-410-5328</t>
  </si>
  <si>
    <t>IT Manager - Database</t>
  </si>
  <si>
    <t>Mujeeb</t>
  </si>
  <si>
    <t>AbdurRahman</t>
  </si>
  <si>
    <t>mabdurrahman@ulta.com</t>
  </si>
  <si>
    <t>+1 331-253-3274</t>
  </si>
  <si>
    <t>SANJEEV</t>
  </si>
  <si>
    <t>DOBHAL</t>
  </si>
  <si>
    <t>sanjeev.dobhal@sephora.com</t>
  </si>
  <si>
    <t>Senior Human Resources Director</t>
  </si>
  <si>
    <t>COURTNEY</t>
  </si>
  <si>
    <t>RICHARDSON</t>
  </si>
  <si>
    <t>TARGET</t>
  </si>
  <si>
    <t>COURTNEY.RICHARDSON@TARGET.COM</t>
  </si>
  <si>
    <t>Chief Information Officer</t>
  </si>
  <si>
    <t>DAVE</t>
  </si>
  <si>
    <t>BARTO</t>
  </si>
  <si>
    <t>DAVE.BARTO@TARGET.COM</t>
  </si>
  <si>
    <t>John</t>
  </si>
  <si>
    <t>Breaux</t>
  </si>
  <si>
    <t>john_s_breaux@homedepot.com</t>
  </si>
  <si>
    <t>Boyle</t>
  </si>
  <si>
    <t>cboyle@starbucks.com</t>
  </si>
  <si>
    <t>Procurement Manager</t>
  </si>
  <si>
    <t>Kristina</t>
  </si>
  <si>
    <t>Mcafee</t>
  </si>
  <si>
    <t>kristina.mcafee@starbucks.com</t>
  </si>
  <si>
    <t>Program Sr. Manager - One Finance</t>
  </si>
  <si>
    <t>Leslie</t>
  </si>
  <si>
    <t>Singer</t>
  </si>
  <si>
    <t>LESLIE_L_SINGER@homedepot.com</t>
  </si>
  <si>
    <t>770-670-1402</t>
  </si>
  <si>
    <t>Senior Manager, IT Business Systems</t>
  </si>
  <si>
    <t>Mohan</t>
  </si>
  <si>
    <t>Raj</t>
  </si>
  <si>
    <t>mohan_raj@homedepot.com</t>
  </si>
  <si>
    <t>IT Finance Manager</t>
  </si>
  <si>
    <t>Gagne</t>
  </si>
  <si>
    <t>debra_gagne@homedepot.com</t>
  </si>
  <si>
    <t>Director â€“ Finance</t>
  </si>
  <si>
    <t>Rebecca</t>
  </si>
  <si>
    <t>Harrell</t>
  </si>
  <si>
    <t>Rebecca_Harrell@HomeDepot.com</t>
  </si>
  <si>
    <t>770-384-4690</t>
  </si>
  <si>
    <t>NMP Manager</t>
  </si>
  <si>
    <t>Ramos</t>
  </si>
  <si>
    <t>michael_ramos@homedepot.com</t>
  </si>
  <si>
    <t>404-791-6094</t>
  </si>
  <si>
    <t>IT Director,  Corporate Functions</t>
  </si>
  <si>
    <t>Canchi</t>
  </si>
  <si>
    <t>Ramana</t>
  </si>
  <si>
    <t>Tractor Supply Company</t>
  </si>
  <si>
    <t>cramana@tractorsupply.com</t>
  </si>
  <si>
    <t>Director, Financial Applications</t>
  </si>
  <si>
    <t>Aniruddha</t>
  </si>
  <si>
    <t>Mahishi</t>
  </si>
  <si>
    <t>Skechers</t>
  </si>
  <si>
    <t>aniruddm@skechers.com</t>
  </si>
  <si>
    <t>DBA IV</t>
  </si>
  <si>
    <t>Sean</t>
  </si>
  <si>
    <t>Thompson</t>
  </si>
  <si>
    <t>Southeastern Grocers</t>
  </si>
  <si>
    <t>seanthompson@biloholdings.com</t>
  </si>
  <si>
    <t>+1 904-370-8627</t>
  </si>
  <si>
    <t>Director Application Development</t>
  </si>
  <si>
    <t>Rob</t>
  </si>
  <si>
    <t>Dellinger</t>
  </si>
  <si>
    <t>STARBUCKS</t>
  </si>
  <si>
    <t>rob.dellinger@starbucks.com</t>
  </si>
  <si>
    <t>Director - Customer Experience</t>
  </si>
  <si>
    <t>Latonya</t>
  </si>
  <si>
    <t>Declues</t>
  </si>
  <si>
    <t>Wayfair</t>
  </si>
  <si>
    <t>ldeclues@wayfair.com</t>
  </si>
  <si>
    <t>Kirsten</t>
  </si>
  <si>
    <t>Schulte</t>
  </si>
  <si>
    <t>kschulte@wayfair.com</t>
  </si>
  <si>
    <t>VP - IT</t>
  </si>
  <si>
    <t>Steve</t>
  </si>
  <si>
    <t>Crusenberry</t>
  </si>
  <si>
    <t>scrusenberry@wayfair.com</t>
  </si>
  <si>
    <t>(617) 532-6100</t>
  </si>
  <si>
    <t>Director - IT</t>
  </si>
  <si>
    <t>Asad</t>
  </si>
  <si>
    <t>Rahman</t>
  </si>
  <si>
    <t>arahman@wayfair.com</t>
  </si>
  <si>
    <t>Manager - IT</t>
  </si>
  <si>
    <t>Ahmed</t>
  </si>
  <si>
    <t>Ferdous</t>
  </si>
  <si>
    <t>ahmed.ferdous@wayfair.com</t>
  </si>
  <si>
    <t>Aaron</t>
  </si>
  <si>
    <t>Rhodes</t>
  </si>
  <si>
    <t>aaron.rhodes@wayfair.com</t>
  </si>
  <si>
    <t>Associate Director - Engineering Project Management</t>
  </si>
  <si>
    <t>Kathryn</t>
  </si>
  <si>
    <t>Lally</t>
  </si>
  <si>
    <t>klally@wayfair.com</t>
  </si>
  <si>
    <t>(617) 532-6851</t>
  </si>
  <si>
    <t>Virginio</t>
  </si>
  <si>
    <t>mvirginio@wayfair.com</t>
  </si>
  <si>
    <t>(617) 532-6100 x2122363</t>
  </si>
  <si>
    <t xml:space="preserve">SALARIED </t>
  </si>
  <si>
    <t>N</t>
  </si>
  <si>
    <t>BUSINESS</t>
  </si>
  <si>
    <t>2000 REVEREND ABRAHAM WOODS JR BLVD</t>
  </si>
  <si>
    <t>FALMOUTH HEIGHTS RD</t>
  </si>
  <si>
    <t>4725 E MAYO BLVD</t>
  </si>
  <si>
    <t>1 CAUSEWAY BLVD</t>
  </si>
  <si>
    <t>SOUTHWICK ST</t>
  </si>
  <si>
    <t>MINNEHAHA AVE</t>
  </si>
  <si>
    <t>SPLIT ROCK LIGHTHOUSE RD</t>
  </si>
  <si>
    <t>ROUTE 35</t>
  </si>
  <si>
    <t>LIBERTY IS</t>
  </si>
  <si>
    <t>ORLEANS RD, MARCONI-RCA WIRELESS MUSEUM</t>
  </si>
  <si>
    <t>HARRISON ST</t>
  </si>
  <si>
    <t>AVE N</t>
  </si>
  <si>
    <t>101 CENTRAL PARK DR</t>
  </si>
  <si>
    <t>HIGHWAY 61</t>
  </si>
  <si>
    <t>1200 GETTY CENTER DR</t>
  </si>
  <si>
    <t>BLACKSTONE ST</t>
  </si>
  <si>
    <t>AIR AND SPACE MUSEUM PKWY</t>
  </si>
  <si>
    <t>1 MUSEUM DR</t>
  </si>
  <si>
    <t>ALAMO PLAZA</t>
  </si>
  <si>
    <t>OCEAN DR</t>
  </si>
  <si>
    <t>34TH WAY</t>
  </si>
  <si>
    <t>W FRONT ST</t>
  </si>
  <si>
    <t>LONDON RD</t>
  </si>
  <si>
    <t>N FIELD ST</t>
  </si>
  <si>
    <t>W CIMMARON LN</t>
  </si>
  <si>
    <t>151 3RD ST</t>
  </si>
  <si>
    <t>W HICKORY RD</t>
  </si>
  <si>
    <t>HIGHLAND AVE NE</t>
  </si>
  <si>
    <t>FIFTH AVENUE</t>
  </si>
  <si>
    <t>BIRMINGHAM</t>
  </si>
  <si>
    <t>FALMOUTH</t>
  </si>
  <si>
    <t>PHOENIX</t>
  </si>
  <si>
    <t>CLEARWATER</t>
  </si>
  <si>
    <t>MENDON</t>
  </si>
  <si>
    <t>MINNEAPOLIS</t>
  </si>
  <si>
    <t>TWO HARBORS</t>
  </si>
  <si>
    <t>SEASIDE PARK</t>
  </si>
  <si>
    <t>NEW YORK</t>
  </si>
  <si>
    <t>NORTH CHATHAM</t>
  </si>
  <si>
    <t>SEATTLE</t>
  </si>
  <si>
    <t>LARGO</t>
  </si>
  <si>
    <t>LOS ANGELES</t>
  </si>
  <si>
    <t>BOSTON</t>
  </si>
  <si>
    <t>CHANTILLY</t>
  </si>
  <si>
    <t>MONTGOMERY</t>
  </si>
  <si>
    <t>SAN ANTONIO</t>
  </si>
  <si>
    <t>WILDWOOD CREST</t>
  </si>
  <si>
    <t>EMPIRE</t>
  </si>
  <si>
    <t>DULUTH</t>
  </si>
  <si>
    <t>DALLAS</t>
  </si>
  <si>
    <t>BENSON</t>
  </si>
  <si>
    <t>SAN FRANCISCO</t>
  </si>
  <si>
    <t>HICKORY CORNERS</t>
  </si>
  <si>
    <t>AL</t>
  </si>
  <si>
    <t>ALABAMA</t>
  </si>
  <si>
    <t>MA</t>
  </si>
  <si>
    <t>MASSACHUSETTS</t>
  </si>
  <si>
    <t>AZ</t>
  </si>
  <si>
    <t>ARIZONA</t>
  </si>
  <si>
    <t>FL</t>
  </si>
  <si>
    <t>FLORIDA</t>
  </si>
  <si>
    <t>MN</t>
  </si>
  <si>
    <t>MINNESOTA</t>
  </si>
  <si>
    <t>NJ</t>
  </si>
  <si>
    <t>NEW JERSEY</t>
  </si>
  <si>
    <t>NY</t>
  </si>
  <si>
    <t>WA</t>
  </si>
  <si>
    <t>WASHINGTON</t>
  </si>
  <si>
    <t>CA</t>
  </si>
  <si>
    <t>CALIFORNIA</t>
  </si>
  <si>
    <t>VA</t>
  </si>
  <si>
    <t>VIRGINIA</t>
  </si>
  <si>
    <t>TX</t>
  </si>
  <si>
    <t>TEXAS</t>
  </si>
  <si>
    <t>MI</t>
  </si>
  <si>
    <t>MICHIGAN</t>
  </si>
  <si>
    <t>2000 OSWALD PL</t>
  </si>
  <si>
    <t>332 FAIROAK BLVD</t>
  </si>
  <si>
    <t>1742 OSWALD PL</t>
  </si>
  <si>
    <t>1445 SCOTTDALE APT</t>
  </si>
  <si>
    <t>342 MOUNTAIN VIEW BLVD</t>
  </si>
  <si>
    <t>1741  CASTRO STREET</t>
  </si>
  <si>
    <t>1342 CUPERTINO BLVD</t>
  </si>
  <si>
    <t>434 HARRISON ST</t>
  </si>
  <si>
    <t>SANTA CLARA</t>
  </si>
  <si>
    <t>705 SUNNY VALE TOWN CENTER APT</t>
  </si>
  <si>
    <t>705 FAIROAKS APT</t>
  </si>
  <si>
    <t>SUNNYVALE</t>
  </si>
  <si>
    <t>174 OSWALD PL</t>
  </si>
  <si>
    <t xml:space="preserve">SAN JOSE </t>
  </si>
  <si>
    <t>81 E Tasman Dr Ste 10</t>
  </si>
  <si>
    <t>343 MOUNTAIN VIEW</t>
  </si>
  <si>
    <t>MILPITAS</t>
  </si>
  <si>
    <t>343 MILKY WAY</t>
  </si>
  <si>
    <t xml:space="preserve">333 W WOLFE ROAD </t>
  </si>
  <si>
    <t>1525, McCarthy Blvd, Suite 224</t>
  </si>
  <si>
    <t>1524, McCarthy Blvd, Suite221</t>
  </si>
  <si>
    <t>1523, McCarthy Blvd, Suite 111</t>
  </si>
  <si>
    <t>984 TASMAN DR</t>
  </si>
  <si>
    <t>client_id</t>
  </si>
  <si>
    <t>advisor_id</t>
  </si>
  <si>
    <t>first_name</t>
  </si>
  <si>
    <t>last_name</t>
  </si>
  <si>
    <t>fraud_detected_code</t>
  </si>
  <si>
    <t>birth_date</t>
  </si>
  <si>
    <t>age</t>
  </si>
  <si>
    <t>gender_code</t>
  </si>
  <si>
    <t>is_deceased_indicator</t>
  </si>
  <si>
    <t>deceased_code</t>
  </si>
  <si>
    <t>deceased_date</t>
  </si>
  <si>
    <t>proof_of_death</t>
  </si>
  <si>
    <t>employment_status_code</t>
  </si>
  <si>
    <t>organization_name</t>
  </si>
  <si>
    <t>occupation</t>
  </si>
  <si>
    <t>marital_status_code</t>
  </si>
  <si>
    <t>dependent_count</t>
  </si>
  <si>
    <t>citizen_country_code</t>
  </si>
  <si>
    <t>state_code</t>
  </si>
  <si>
    <t>state_description</t>
  </si>
  <si>
    <t>city_name</t>
  </si>
  <si>
    <t>address</t>
  </si>
  <si>
    <t>email_address</t>
  </si>
  <si>
    <t>business_phone</t>
  </si>
  <si>
    <t>primary_income_source</t>
  </si>
  <si>
    <t>annual_income</t>
  </si>
  <si>
    <t>initial_investment_amount</t>
  </si>
  <si>
    <t>liquid_net_worth_amount</t>
  </si>
  <si>
    <t>creation_date</t>
  </si>
  <si>
    <t>client_type</t>
  </si>
  <si>
    <t>client_start_date</t>
  </si>
  <si>
    <t>client_title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</si>
</sst>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2" fillId="2" borderId="0" xfId="0" applyNumberFormat="1" applyFont="1" applyFill="1" applyAlignment="1">
      <alignment horizontal="left" vertical="top"/>
    </xf>
    <xf numFmtId="0" fontId="2" fillId="2" borderId="0" xfId="1" applyFont="1" applyFill="1" applyAlignment="1">
      <alignment horizontal="left" vertical="top"/>
    </xf>
    <xf numFmtId="14" fontId="1" fillId="0" borderId="0" xfId="1" applyNumberFormat="1" applyAlignment="1">
      <alignment horizontal="left" vertical="top"/>
    </xf>
    <xf numFmtId="0" fontId="0" fillId="0" borderId="0" xfId="1" applyFont="1" applyAlignment="1">
      <alignment horizontal="left" vertical="top"/>
    </xf>
    <xf numFmtId="0" fontId="0" fillId="0" borderId="0" xfId="0" applyAlignment="1">
      <alignment horizontal="center"/>
    </xf>
    <xf numFmtId="0" fontId="2" fillId="2" borderId="0" xfId="1" applyFont="1" applyFill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C23065C8-F98D-4F5A-B23D-3A240609B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8189-2266-4260-8F86-88607F50344C}">
  <dimension ref="A1:AF106"/>
  <sheetViews>
    <sheetView tabSelected="1" workbookViewId="0">
      <selection activeCell="D2" sqref="D2"/>
    </sheetView>
  </sheetViews>
  <sheetFormatPr defaultColWidth="9.109375" defaultRowHeight="14.4" x14ac:dyDescent="0.3"/>
  <cols>
    <col min="1" max="1" width="9.88671875" style="1" bestFit="1" customWidth="1"/>
    <col min="2" max="2" width="16.44140625" style="1" bestFit="1" customWidth="1"/>
    <col min="3" max="3" width="15.44140625" style="5" bestFit="1" customWidth="1"/>
    <col min="4" max="4" width="61.33203125" style="1" bestFit="1" customWidth="1"/>
    <col min="5" max="5" width="10.5546875" style="1" bestFit="1" customWidth="1"/>
    <col min="6" max="6" width="12.33203125" style="1" bestFit="1" customWidth="1"/>
    <col min="7" max="7" width="19.44140625" style="1" bestFit="1" customWidth="1"/>
    <col min="8" max="8" width="18.5546875" style="10" bestFit="1" customWidth="1"/>
    <col min="9" max="9" width="12.5546875" style="1" customWidth="1"/>
    <col min="10" max="10" width="8.6640625" style="1" bestFit="1" customWidth="1"/>
    <col min="11" max="11" width="11.6640625" style="1" bestFit="1" customWidth="1"/>
    <col min="12" max="12" width="17" style="1" bestFit="1" customWidth="1"/>
    <col min="13" max="13" width="13.5546875" style="1" bestFit="1" customWidth="1"/>
    <col min="14" max="14" width="13.44140625" style="1" bestFit="1" customWidth="1"/>
    <col min="15" max="15" width="17.6640625" style="1" bestFit="1" customWidth="1"/>
    <col min="16" max="16" width="25.33203125" style="1" bestFit="1" customWidth="1"/>
    <col min="17" max="17" width="22.6640625" style="1" bestFit="1" customWidth="1"/>
    <col min="18" max="18" width="13.109375" style="1" bestFit="1" customWidth="1"/>
    <col min="19" max="19" width="20.44140625" style="1" bestFit="1" customWidth="1"/>
    <col min="20" max="20" width="19.33203125" style="1" bestFit="1" customWidth="1"/>
    <col min="21" max="21" width="18.33203125" style="1" bestFit="1" customWidth="1"/>
    <col min="22" max="22" width="22.44140625" style="1" customWidth="1"/>
    <col min="23" max="23" width="21" style="1" customWidth="1"/>
    <col min="24" max="24" width="23.44140625" style="1" customWidth="1"/>
    <col min="25" max="25" width="48.109375" style="1" customWidth="1"/>
    <col min="26" max="26" width="41.44140625" style="1" bestFit="1" customWidth="1"/>
    <col min="27" max="27" width="22.44140625" style="1" bestFit="1" customWidth="1"/>
    <col min="28" max="28" width="23.88671875" style="10" bestFit="1" customWidth="1"/>
    <col min="29" max="30" width="20.109375" style="1" bestFit="1" customWidth="1"/>
    <col min="31" max="31" width="25" style="1" bestFit="1" customWidth="1"/>
    <col min="32" max="32" width="15.44140625" style="5" bestFit="1" customWidth="1"/>
    <col min="33" max="16384" width="9.109375" style="1"/>
  </cols>
  <sheetData>
    <row r="1" spans="1:32" s="3" customFormat="1" x14ac:dyDescent="0.3">
      <c r="A1" s="2" t="s">
        <v>337</v>
      </c>
      <c r="B1" s="2" t="s">
        <v>366</v>
      </c>
      <c r="C1" s="6" t="s">
        <v>367</v>
      </c>
      <c r="D1" s="7" t="s">
        <v>368</v>
      </c>
      <c r="E1" s="7" t="s">
        <v>338</v>
      </c>
      <c r="F1" s="7" t="s">
        <v>339</v>
      </c>
      <c r="G1" s="7" t="s">
        <v>340</v>
      </c>
      <c r="H1" s="11" t="s">
        <v>341</v>
      </c>
      <c r="I1" s="7" t="s">
        <v>342</v>
      </c>
      <c r="J1" s="7" t="s">
        <v>343</v>
      </c>
      <c r="K1" s="7" t="s">
        <v>344</v>
      </c>
      <c r="L1" s="7" t="s">
        <v>345</v>
      </c>
      <c r="M1" s="7" t="s">
        <v>346</v>
      </c>
      <c r="N1" s="7" t="s">
        <v>347</v>
      </c>
      <c r="O1" s="7" t="s">
        <v>348</v>
      </c>
      <c r="P1" s="7" t="s">
        <v>349</v>
      </c>
      <c r="Q1" s="7" t="s">
        <v>350</v>
      </c>
      <c r="R1" s="7" t="s">
        <v>351</v>
      </c>
      <c r="S1" s="7" t="s">
        <v>352</v>
      </c>
      <c r="T1" s="7" t="s">
        <v>353</v>
      </c>
      <c r="U1" s="7" t="s">
        <v>354</v>
      </c>
      <c r="V1" s="7" t="s">
        <v>355</v>
      </c>
      <c r="W1" s="7" t="s">
        <v>356</v>
      </c>
      <c r="X1" s="7" t="s">
        <v>357</v>
      </c>
      <c r="Y1" s="7" t="s">
        <v>358</v>
      </c>
      <c r="Z1" s="7" t="s">
        <v>359</v>
      </c>
      <c r="AA1" s="7" t="s">
        <v>360</v>
      </c>
      <c r="AB1" s="11" t="s">
        <v>361</v>
      </c>
      <c r="AC1" s="11" t="s">
        <v>362</v>
      </c>
      <c r="AD1" s="11" t="s">
        <v>363</v>
      </c>
      <c r="AE1" s="11" t="s">
        <v>364</v>
      </c>
      <c r="AF1" s="6" t="s">
        <v>365</v>
      </c>
    </row>
    <row r="2" spans="1:32" x14ac:dyDescent="0.3">
      <c r="A2" s="4">
        <v>17771</v>
      </c>
      <c r="B2" s="4" t="s">
        <v>0</v>
      </c>
      <c r="C2" s="5">
        <v>36892</v>
      </c>
      <c r="D2" s="4" t="s">
        <v>1</v>
      </c>
      <c r="E2" s="4">
        <v>7860</v>
      </c>
      <c r="F2" s="4" t="s">
        <v>2</v>
      </c>
      <c r="G2" s="4" t="s">
        <v>3</v>
      </c>
      <c r="H2" s="12" t="s">
        <v>236</v>
      </c>
      <c r="I2" s="8">
        <v>27426</v>
      </c>
      <c r="J2" s="4">
        <v>46</v>
      </c>
      <c r="K2" s="9" t="s">
        <v>4</v>
      </c>
      <c r="L2" s="4">
        <v>0</v>
      </c>
      <c r="M2" s="9" t="s">
        <v>5</v>
      </c>
      <c r="N2" s="4"/>
      <c r="O2" s="4"/>
      <c r="P2" s="9" t="s">
        <v>6</v>
      </c>
      <c r="Q2" s="4" t="s">
        <v>7</v>
      </c>
      <c r="R2" s="4"/>
      <c r="S2" s="9" t="s">
        <v>4</v>
      </c>
      <c r="T2" s="4">
        <v>3</v>
      </c>
      <c r="U2" s="4" t="s">
        <v>8</v>
      </c>
      <c r="V2" s="4" t="s">
        <v>291</v>
      </c>
      <c r="W2" s="4" t="s">
        <v>292</v>
      </c>
      <c r="X2" s="4" t="s">
        <v>267</v>
      </c>
      <c r="Y2" s="4" t="s">
        <v>238</v>
      </c>
      <c r="Z2" s="4" t="s">
        <v>9</v>
      </c>
      <c r="AA2" s="4" t="s">
        <v>10</v>
      </c>
      <c r="AB2" s="12" t="s">
        <v>235</v>
      </c>
      <c r="AC2" s="10">
        <v>138851942</v>
      </c>
      <c r="AD2" s="10">
        <v>453974</v>
      </c>
      <c r="AE2" s="1">
        <f>AC2+AD2+123321454</f>
        <v>262627370</v>
      </c>
      <c r="AF2" s="5">
        <v>36892</v>
      </c>
    </row>
    <row r="3" spans="1:32" x14ac:dyDescent="0.3">
      <c r="A3" s="4">
        <v>19359</v>
      </c>
      <c r="B3" s="4" t="s">
        <v>0</v>
      </c>
      <c r="C3" s="5">
        <v>44197</v>
      </c>
      <c r="D3" s="4" t="s">
        <v>11</v>
      </c>
      <c r="E3" s="4">
        <v>7861</v>
      </c>
      <c r="F3" s="4" t="s">
        <v>12</v>
      </c>
      <c r="G3" s="4" t="s">
        <v>13</v>
      </c>
      <c r="H3" s="12" t="s">
        <v>236</v>
      </c>
      <c r="I3" s="8">
        <v>27427</v>
      </c>
      <c r="J3" s="4">
        <v>46</v>
      </c>
      <c r="K3" s="9" t="s">
        <v>4</v>
      </c>
      <c r="L3" s="4">
        <v>0</v>
      </c>
      <c r="M3" s="9" t="s">
        <v>5</v>
      </c>
      <c r="N3" s="4"/>
      <c r="O3" s="4"/>
      <c r="P3" s="9" t="s">
        <v>6</v>
      </c>
      <c r="Q3" s="4" t="s">
        <v>7</v>
      </c>
      <c r="R3" s="4"/>
      <c r="S3" s="9" t="s">
        <v>4</v>
      </c>
      <c r="T3" s="4">
        <v>2</v>
      </c>
      <c r="U3" s="4" t="s">
        <v>8</v>
      </c>
      <c r="V3" s="4" t="s">
        <v>293</v>
      </c>
      <c r="W3" s="4" t="s">
        <v>294</v>
      </c>
      <c r="X3" s="4" t="s">
        <v>268</v>
      </c>
      <c r="Y3" s="4" t="s">
        <v>239</v>
      </c>
      <c r="Z3" s="4" t="s">
        <v>14</v>
      </c>
      <c r="AA3" s="4" t="s">
        <v>15</v>
      </c>
      <c r="AB3" s="12" t="s">
        <v>235</v>
      </c>
      <c r="AC3" s="10">
        <v>1217061796</v>
      </c>
      <c r="AD3" s="10">
        <v>1544836</v>
      </c>
      <c r="AE3" s="1">
        <f t="shared" ref="AE3:AE52" si="0">AC3+AD3+123321454</f>
        <v>1341928086</v>
      </c>
      <c r="AF3" s="5">
        <v>44197</v>
      </c>
    </row>
    <row r="4" spans="1:32" x14ac:dyDescent="0.3">
      <c r="A4" s="4">
        <v>44713</v>
      </c>
      <c r="B4" s="4" t="s">
        <v>0</v>
      </c>
      <c r="C4" s="5">
        <v>41305</v>
      </c>
      <c r="D4" s="4" t="s">
        <v>16</v>
      </c>
      <c r="E4" s="4">
        <v>7862</v>
      </c>
      <c r="F4" s="4" t="s">
        <v>17</v>
      </c>
      <c r="G4" s="4" t="s">
        <v>18</v>
      </c>
      <c r="H4" s="12" t="s">
        <v>236</v>
      </c>
      <c r="I4" s="8">
        <v>27428</v>
      </c>
      <c r="J4" s="4">
        <v>46</v>
      </c>
      <c r="K4" s="9" t="s">
        <v>4</v>
      </c>
      <c r="L4" s="4">
        <v>0</v>
      </c>
      <c r="M4" s="9" t="s">
        <v>5</v>
      </c>
      <c r="N4" s="4"/>
      <c r="O4" s="4"/>
      <c r="P4" s="9" t="s">
        <v>6</v>
      </c>
      <c r="Q4" s="4" t="s">
        <v>19</v>
      </c>
      <c r="R4" s="4"/>
      <c r="S4" s="9" t="s">
        <v>4</v>
      </c>
      <c r="T4" s="4">
        <v>1</v>
      </c>
      <c r="U4" s="4" t="s">
        <v>8</v>
      </c>
      <c r="V4" s="4" t="s">
        <v>295</v>
      </c>
      <c r="W4" s="4" t="s">
        <v>296</v>
      </c>
      <c r="X4" s="4" t="s">
        <v>269</v>
      </c>
      <c r="Y4" s="4" t="s">
        <v>240</v>
      </c>
      <c r="Z4" s="4" t="s">
        <v>20</v>
      </c>
      <c r="AA4" s="4" t="s">
        <v>21</v>
      </c>
      <c r="AB4" s="12" t="s">
        <v>235</v>
      </c>
      <c r="AC4" s="10">
        <v>1793582400</v>
      </c>
      <c r="AD4" s="10">
        <v>884634</v>
      </c>
      <c r="AE4" s="1">
        <f t="shared" si="0"/>
        <v>1917788488</v>
      </c>
      <c r="AF4" s="5">
        <v>41305</v>
      </c>
    </row>
    <row r="5" spans="1:32" x14ac:dyDescent="0.3">
      <c r="A5" s="4">
        <v>61167</v>
      </c>
      <c r="B5" s="4" t="s">
        <v>0</v>
      </c>
      <c r="C5" s="5">
        <v>38814</v>
      </c>
      <c r="D5" s="4" t="s">
        <v>22</v>
      </c>
      <c r="E5" s="4">
        <v>5672</v>
      </c>
      <c r="F5" s="4" t="s">
        <v>23</v>
      </c>
      <c r="G5" s="4" t="s">
        <v>24</v>
      </c>
      <c r="H5" s="12" t="s">
        <v>236</v>
      </c>
      <c r="I5" s="8">
        <v>27429</v>
      </c>
      <c r="J5" s="4">
        <v>46</v>
      </c>
      <c r="K5" s="9" t="s">
        <v>4</v>
      </c>
      <c r="L5" s="4">
        <v>0</v>
      </c>
      <c r="M5" s="9" t="s">
        <v>5</v>
      </c>
      <c r="N5" s="4"/>
      <c r="O5" s="4"/>
      <c r="P5" s="9" t="s">
        <v>6</v>
      </c>
      <c r="Q5" s="4" t="s">
        <v>25</v>
      </c>
      <c r="R5" s="4"/>
      <c r="S5" s="9" t="s">
        <v>4</v>
      </c>
      <c r="T5" s="4">
        <v>1</v>
      </c>
      <c r="U5" s="4" t="s">
        <v>8</v>
      </c>
      <c r="V5" s="4" t="s">
        <v>297</v>
      </c>
      <c r="W5" s="4" t="s">
        <v>298</v>
      </c>
      <c r="X5" s="4" t="s">
        <v>270</v>
      </c>
      <c r="Y5" s="4" t="s">
        <v>241</v>
      </c>
      <c r="Z5" s="4" t="s">
        <v>26</v>
      </c>
      <c r="AA5" s="4" t="s">
        <v>27</v>
      </c>
      <c r="AB5" s="12" t="s">
        <v>235</v>
      </c>
      <c r="AC5" s="10">
        <v>1109800116</v>
      </c>
      <c r="AD5" s="10">
        <v>1819974</v>
      </c>
      <c r="AE5" s="1">
        <f t="shared" si="0"/>
        <v>1234941544</v>
      </c>
      <c r="AF5" s="5">
        <v>38814</v>
      </c>
    </row>
    <row r="6" spans="1:32" x14ac:dyDescent="0.3">
      <c r="A6" s="4">
        <v>62231</v>
      </c>
      <c r="B6" s="4" t="s">
        <v>0</v>
      </c>
      <c r="C6" s="5">
        <v>42597</v>
      </c>
      <c r="D6" s="4" t="s">
        <v>28</v>
      </c>
      <c r="E6" s="4">
        <v>6274</v>
      </c>
      <c r="F6" s="4" t="s">
        <v>29</v>
      </c>
      <c r="G6" s="4" t="s">
        <v>30</v>
      </c>
      <c r="H6" s="12" t="s">
        <v>236</v>
      </c>
      <c r="I6" s="8">
        <v>27430</v>
      </c>
      <c r="J6" s="4">
        <v>46</v>
      </c>
      <c r="K6" s="9" t="s">
        <v>4</v>
      </c>
      <c r="L6" s="4">
        <v>0</v>
      </c>
      <c r="M6" s="9" t="s">
        <v>5</v>
      </c>
      <c r="N6" s="4"/>
      <c r="O6" s="4"/>
      <c r="P6" s="9" t="s">
        <v>6</v>
      </c>
      <c r="Q6" s="4" t="s">
        <v>31</v>
      </c>
      <c r="R6" s="4"/>
      <c r="S6" s="9" t="s">
        <v>4</v>
      </c>
      <c r="T6" s="4">
        <v>4</v>
      </c>
      <c r="U6" s="4" t="s">
        <v>8</v>
      </c>
      <c r="V6" s="4" t="s">
        <v>293</v>
      </c>
      <c r="W6" s="4" t="s">
        <v>294</v>
      </c>
      <c r="X6" s="4" t="s">
        <v>271</v>
      </c>
      <c r="Y6" s="4" t="s">
        <v>242</v>
      </c>
      <c r="Z6" s="4" t="s">
        <v>32</v>
      </c>
      <c r="AA6" s="4" t="s">
        <v>33</v>
      </c>
      <c r="AB6" s="12" t="s">
        <v>235</v>
      </c>
      <c r="AC6" s="10">
        <v>636187423</v>
      </c>
      <c r="AD6" s="10">
        <v>793970</v>
      </c>
      <c r="AE6" s="1">
        <f t="shared" si="0"/>
        <v>760302847</v>
      </c>
      <c r="AF6" s="5">
        <v>42597</v>
      </c>
    </row>
    <row r="7" spans="1:32" x14ac:dyDescent="0.3">
      <c r="A7" s="4">
        <v>62318</v>
      </c>
      <c r="B7" s="4" t="s">
        <v>0</v>
      </c>
      <c r="C7" s="5">
        <v>40357</v>
      </c>
      <c r="D7" s="4" t="s">
        <v>34</v>
      </c>
      <c r="E7" s="4">
        <v>4884</v>
      </c>
      <c r="F7" s="4" t="s">
        <v>35</v>
      </c>
      <c r="G7" s="4" t="s">
        <v>36</v>
      </c>
      <c r="H7" s="12" t="s">
        <v>236</v>
      </c>
      <c r="I7" s="8">
        <v>27431</v>
      </c>
      <c r="J7" s="4">
        <v>46</v>
      </c>
      <c r="K7" s="9" t="s">
        <v>4</v>
      </c>
      <c r="L7" s="4">
        <v>0</v>
      </c>
      <c r="M7" s="9" t="s">
        <v>5</v>
      </c>
      <c r="N7" s="4"/>
      <c r="O7" s="4"/>
      <c r="P7" s="9" t="s">
        <v>6</v>
      </c>
      <c r="Q7" s="4" t="s">
        <v>37</v>
      </c>
      <c r="R7" s="4"/>
      <c r="S7" s="9" t="s">
        <v>4</v>
      </c>
      <c r="T7" s="4">
        <v>1</v>
      </c>
      <c r="U7" s="4" t="s">
        <v>8</v>
      </c>
      <c r="V7" s="4" t="s">
        <v>299</v>
      </c>
      <c r="W7" s="4" t="s">
        <v>300</v>
      </c>
      <c r="X7" s="4" t="s">
        <v>272</v>
      </c>
      <c r="Y7" s="4" t="s">
        <v>243</v>
      </c>
      <c r="Z7" s="4" t="s">
        <v>38</v>
      </c>
      <c r="AA7" s="4" t="s">
        <v>39</v>
      </c>
      <c r="AB7" s="12" t="s">
        <v>235</v>
      </c>
      <c r="AC7" s="10">
        <v>1611844624</v>
      </c>
      <c r="AD7" s="10">
        <v>870298</v>
      </c>
      <c r="AE7" s="1">
        <f t="shared" si="0"/>
        <v>1736036376</v>
      </c>
      <c r="AF7" s="5">
        <v>40357</v>
      </c>
    </row>
    <row r="8" spans="1:32" x14ac:dyDescent="0.3">
      <c r="A8" s="4">
        <v>62500</v>
      </c>
      <c r="B8" s="4" t="s">
        <v>0</v>
      </c>
      <c r="C8" s="5">
        <v>43306</v>
      </c>
      <c r="D8" s="4" t="s">
        <v>40</v>
      </c>
      <c r="E8" s="4">
        <v>8442</v>
      </c>
      <c r="F8" s="4" t="s">
        <v>41</v>
      </c>
      <c r="G8" s="4" t="s">
        <v>42</v>
      </c>
      <c r="H8" s="12" t="s">
        <v>236</v>
      </c>
      <c r="I8" s="8">
        <v>27432</v>
      </c>
      <c r="J8" s="4">
        <v>46</v>
      </c>
      <c r="K8" s="9" t="s">
        <v>4</v>
      </c>
      <c r="L8" s="4">
        <v>0</v>
      </c>
      <c r="M8" s="9" t="s">
        <v>5</v>
      </c>
      <c r="N8" s="4"/>
      <c r="O8" s="4"/>
      <c r="P8" s="9" t="s">
        <v>6</v>
      </c>
      <c r="Q8" s="4" t="s">
        <v>25</v>
      </c>
      <c r="R8" s="4"/>
      <c r="S8" s="9" t="s">
        <v>4</v>
      </c>
      <c r="T8" s="4">
        <v>3</v>
      </c>
      <c r="U8" s="4" t="s">
        <v>8</v>
      </c>
      <c r="V8" s="4" t="s">
        <v>299</v>
      </c>
      <c r="W8" s="4" t="s">
        <v>300</v>
      </c>
      <c r="X8" s="4" t="s">
        <v>273</v>
      </c>
      <c r="Y8" s="4" t="s">
        <v>244</v>
      </c>
      <c r="Z8" s="4" t="s">
        <v>43</v>
      </c>
      <c r="AA8" s="4"/>
      <c r="AB8" s="12" t="s">
        <v>237</v>
      </c>
      <c r="AC8" s="10">
        <v>1560456360</v>
      </c>
      <c r="AD8" s="10">
        <v>618720</v>
      </c>
      <c r="AE8" s="1">
        <f t="shared" si="0"/>
        <v>1684396534</v>
      </c>
      <c r="AF8" s="5">
        <v>43306</v>
      </c>
    </row>
    <row r="9" spans="1:32" x14ac:dyDescent="0.3">
      <c r="A9" s="4">
        <v>64145</v>
      </c>
      <c r="B9" s="4" t="s">
        <v>0</v>
      </c>
      <c r="C9" s="5">
        <v>39526</v>
      </c>
      <c r="D9" s="4" t="s">
        <v>44</v>
      </c>
      <c r="E9" s="4">
        <v>1738</v>
      </c>
      <c r="F9" s="4" t="s">
        <v>45</v>
      </c>
      <c r="G9" s="4" t="s">
        <v>46</v>
      </c>
      <c r="H9" s="12" t="s">
        <v>236</v>
      </c>
      <c r="I9" s="8">
        <v>27433</v>
      </c>
      <c r="J9" s="4">
        <v>46</v>
      </c>
      <c r="K9" s="9" t="s">
        <v>4</v>
      </c>
      <c r="L9" s="4">
        <v>0</v>
      </c>
      <c r="M9" s="9" t="s">
        <v>5</v>
      </c>
      <c r="N9" s="4"/>
      <c r="O9" s="4"/>
      <c r="P9" s="9" t="s">
        <v>6</v>
      </c>
      <c r="Q9" s="4" t="s">
        <v>25</v>
      </c>
      <c r="R9" s="4"/>
      <c r="S9" s="9" t="s">
        <v>4</v>
      </c>
      <c r="T9" s="4">
        <v>1</v>
      </c>
      <c r="U9" s="4" t="s">
        <v>8</v>
      </c>
      <c r="V9" s="4" t="s">
        <v>301</v>
      </c>
      <c r="W9" s="4" t="s">
        <v>302</v>
      </c>
      <c r="X9" s="4" t="s">
        <v>274</v>
      </c>
      <c r="Y9" s="4" t="s">
        <v>245</v>
      </c>
      <c r="Z9" s="4" t="s">
        <v>47</v>
      </c>
      <c r="AA9" s="4">
        <v>7703785264</v>
      </c>
      <c r="AB9" s="12" t="s">
        <v>237</v>
      </c>
      <c r="AC9" s="10">
        <v>468165580</v>
      </c>
      <c r="AD9" s="10">
        <v>114745</v>
      </c>
      <c r="AE9" s="1">
        <f t="shared" si="0"/>
        <v>591601779</v>
      </c>
      <c r="AF9" s="5">
        <v>39526</v>
      </c>
    </row>
    <row r="10" spans="1:32" x14ac:dyDescent="0.3">
      <c r="A10" s="4">
        <v>67277</v>
      </c>
      <c r="B10" s="4" t="s">
        <v>0</v>
      </c>
      <c r="C10" s="5">
        <v>43650</v>
      </c>
      <c r="D10" s="4" t="s">
        <v>48</v>
      </c>
      <c r="E10" s="4">
        <v>1588</v>
      </c>
      <c r="F10" s="4" t="s">
        <v>49</v>
      </c>
      <c r="G10" s="4" t="s">
        <v>50</v>
      </c>
      <c r="H10" s="12" t="s">
        <v>236</v>
      </c>
      <c r="I10" s="8">
        <v>27434</v>
      </c>
      <c r="J10" s="4">
        <v>46</v>
      </c>
      <c r="K10" s="9" t="s">
        <v>4</v>
      </c>
      <c r="L10" s="4">
        <v>0</v>
      </c>
      <c r="M10" s="9" t="s">
        <v>5</v>
      </c>
      <c r="N10" s="4"/>
      <c r="O10" s="4"/>
      <c r="P10" s="9" t="s">
        <v>6</v>
      </c>
      <c r="Q10" s="4" t="s">
        <v>51</v>
      </c>
      <c r="R10" s="4"/>
      <c r="S10" s="9" t="s">
        <v>4</v>
      </c>
      <c r="T10" s="4">
        <v>1</v>
      </c>
      <c r="U10" s="4" t="s">
        <v>8</v>
      </c>
      <c r="V10" s="4" t="s">
        <v>303</v>
      </c>
      <c r="W10" s="4" t="s">
        <v>275</v>
      </c>
      <c r="X10" s="4" t="s">
        <v>275</v>
      </c>
      <c r="Y10" s="4" t="s">
        <v>246</v>
      </c>
      <c r="Z10" s="4" t="s">
        <v>52</v>
      </c>
      <c r="AA10" s="4" t="s">
        <v>53</v>
      </c>
      <c r="AB10" s="12" t="s">
        <v>237</v>
      </c>
      <c r="AC10" s="10">
        <v>694361535</v>
      </c>
      <c r="AD10" s="10">
        <v>1347411</v>
      </c>
      <c r="AE10" s="1">
        <f t="shared" si="0"/>
        <v>819030400</v>
      </c>
      <c r="AF10" s="5">
        <v>43650</v>
      </c>
    </row>
    <row r="11" spans="1:32" x14ac:dyDescent="0.3">
      <c r="A11" s="4">
        <v>67285</v>
      </c>
      <c r="B11" s="4" t="s">
        <v>0</v>
      </c>
      <c r="C11" s="5">
        <v>42770</v>
      </c>
      <c r="D11" s="4" t="s">
        <v>54</v>
      </c>
      <c r="E11" s="4">
        <v>7695</v>
      </c>
      <c r="F11" s="4" t="s">
        <v>55</v>
      </c>
      <c r="G11" s="4" t="s">
        <v>56</v>
      </c>
      <c r="H11" s="12" t="s">
        <v>236</v>
      </c>
      <c r="I11" s="8">
        <v>27435</v>
      </c>
      <c r="J11" s="4">
        <v>46</v>
      </c>
      <c r="K11" s="9" t="s">
        <v>4</v>
      </c>
      <c r="L11" s="4">
        <v>0</v>
      </c>
      <c r="M11" s="9" t="s">
        <v>5</v>
      </c>
      <c r="N11" s="4"/>
      <c r="O11" s="4"/>
      <c r="P11" s="9" t="s">
        <v>6</v>
      </c>
      <c r="Q11" s="4" t="s">
        <v>51</v>
      </c>
      <c r="R11" s="4"/>
      <c r="S11" s="9" t="s">
        <v>4</v>
      </c>
      <c r="T11" s="4">
        <v>3</v>
      </c>
      <c r="U11" s="4" t="s">
        <v>8</v>
      </c>
      <c r="V11" s="4" t="s">
        <v>293</v>
      </c>
      <c r="W11" s="4" t="s">
        <v>294</v>
      </c>
      <c r="X11" s="4" t="s">
        <v>276</v>
      </c>
      <c r="Y11" s="4" t="s">
        <v>247</v>
      </c>
      <c r="Z11" s="4" t="s">
        <v>57</v>
      </c>
      <c r="AA11" s="4" t="s">
        <v>58</v>
      </c>
      <c r="AB11" s="12" t="s">
        <v>235</v>
      </c>
      <c r="AC11" s="10">
        <v>1337283499</v>
      </c>
      <c r="AD11" s="10">
        <v>860038</v>
      </c>
      <c r="AE11" s="1">
        <f t="shared" si="0"/>
        <v>1461464991</v>
      </c>
      <c r="AF11" s="5">
        <v>42770</v>
      </c>
    </row>
    <row r="12" spans="1:32" x14ac:dyDescent="0.3">
      <c r="A12" s="4">
        <v>67296</v>
      </c>
      <c r="B12" s="4" t="s">
        <v>0</v>
      </c>
      <c r="C12" s="5">
        <v>42254</v>
      </c>
      <c r="D12" s="4" t="s">
        <v>59</v>
      </c>
      <c r="E12" s="4">
        <v>6053</v>
      </c>
      <c r="F12" s="4" t="s">
        <v>60</v>
      </c>
      <c r="G12" s="4" t="s">
        <v>61</v>
      </c>
      <c r="H12" s="12" t="s">
        <v>236</v>
      </c>
      <c r="I12" s="8">
        <v>27436</v>
      </c>
      <c r="J12" s="4">
        <v>46</v>
      </c>
      <c r="K12" s="9" t="s">
        <v>4</v>
      </c>
      <c r="L12" s="4">
        <v>0</v>
      </c>
      <c r="M12" s="9" t="s">
        <v>5</v>
      </c>
      <c r="N12" s="4"/>
      <c r="O12" s="4"/>
      <c r="P12" s="9" t="s">
        <v>6</v>
      </c>
      <c r="Q12" s="4" t="s">
        <v>51</v>
      </c>
      <c r="R12" s="4"/>
      <c r="S12" s="9" t="s">
        <v>4</v>
      </c>
      <c r="T12" s="4">
        <v>2</v>
      </c>
      <c r="U12" s="4" t="s">
        <v>8</v>
      </c>
      <c r="V12" s="4" t="s">
        <v>304</v>
      </c>
      <c r="W12" s="4" t="s">
        <v>305</v>
      </c>
      <c r="X12" s="4" t="s">
        <v>277</v>
      </c>
      <c r="Y12" s="4" t="s">
        <v>248</v>
      </c>
      <c r="Z12" s="4" t="s">
        <v>62</v>
      </c>
      <c r="AA12" s="4" t="s">
        <v>63</v>
      </c>
      <c r="AB12" s="12" t="s">
        <v>235</v>
      </c>
      <c r="AC12" s="10">
        <v>1313859812</v>
      </c>
      <c r="AD12" s="10">
        <v>903021</v>
      </c>
      <c r="AE12" s="1">
        <f t="shared" si="0"/>
        <v>1438084287</v>
      </c>
      <c r="AF12" s="5">
        <v>42254</v>
      </c>
    </row>
    <row r="13" spans="1:32" x14ac:dyDescent="0.3">
      <c r="A13" s="4">
        <v>67300</v>
      </c>
      <c r="B13" s="4" t="s">
        <v>0</v>
      </c>
      <c r="C13" s="5">
        <v>43982</v>
      </c>
      <c r="D13" s="4" t="s">
        <v>64</v>
      </c>
      <c r="E13" s="4">
        <v>7633</v>
      </c>
      <c r="F13" s="4" t="s">
        <v>65</v>
      </c>
      <c r="G13" s="4" t="s">
        <v>66</v>
      </c>
      <c r="H13" s="12" t="s">
        <v>236</v>
      </c>
      <c r="I13" s="8">
        <v>27437</v>
      </c>
      <c r="J13" s="4">
        <v>46</v>
      </c>
      <c r="K13" s="9" t="s">
        <v>4</v>
      </c>
      <c r="L13" s="4">
        <v>0</v>
      </c>
      <c r="M13" s="9" t="s">
        <v>5</v>
      </c>
      <c r="N13" s="4"/>
      <c r="O13" s="4"/>
      <c r="P13" s="9" t="s">
        <v>6</v>
      </c>
      <c r="Q13" s="4" t="s">
        <v>51</v>
      </c>
      <c r="R13" s="4"/>
      <c r="S13" s="9" t="s">
        <v>4</v>
      </c>
      <c r="T13" s="4">
        <v>2</v>
      </c>
      <c r="U13" s="4" t="s">
        <v>8</v>
      </c>
      <c r="V13" s="4" t="s">
        <v>304</v>
      </c>
      <c r="W13" s="4" t="s">
        <v>305</v>
      </c>
      <c r="X13" s="4" t="s">
        <v>277</v>
      </c>
      <c r="Y13" s="4" t="s">
        <v>249</v>
      </c>
      <c r="Z13" s="4" t="s">
        <v>67</v>
      </c>
      <c r="AA13" s="4" t="s">
        <v>68</v>
      </c>
      <c r="AB13" s="12" t="s">
        <v>235</v>
      </c>
      <c r="AC13" s="10">
        <v>154288623</v>
      </c>
      <c r="AD13" s="10">
        <v>529682</v>
      </c>
      <c r="AE13" s="1">
        <f t="shared" si="0"/>
        <v>278139759</v>
      </c>
      <c r="AF13" s="5">
        <v>43982</v>
      </c>
    </row>
    <row r="14" spans="1:32" x14ac:dyDescent="0.3">
      <c r="A14" s="4">
        <v>67301</v>
      </c>
      <c r="B14" s="4" t="s">
        <v>0</v>
      </c>
      <c r="C14" s="5">
        <v>42084</v>
      </c>
      <c r="D14" s="4" t="s">
        <v>69</v>
      </c>
      <c r="E14" s="4">
        <v>2968</v>
      </c>
      <c r="F14" s="4" t="s">
        <v>70</v>
      </c>
      <c r="G14" s="4" t="s">
        <v>71</v>
      </c>
      <c r="H14" s="12" t="s">
        <v>236</v>
      </c>
      <c r="I14" s="8">
        <v>27438</v>
      </c>
      <c r="J14" s="4">
        <v>46</v>
      </c>
      <c r="K14" s="9" t="s">
        <v>4</v>
      </c>
      <c r="L14" s="4">
        <v>0</v>
      </c>
      <c r="M14" s="9" t="s">
        <v>5</v>
      </c>
      <c r="N14" s="4"/>
      <c r="O14" s="4"/>
      <c r="P14" s="9" t="s">
        <v>6</v>
      </c>
      <c r="Q14" s="4" t="s">
        <v>51</v>
      </c>
      <c r="R14" s="4"/>
      <c r="S14" s="9" t="s">
        <v>4</v>
      </c>
      <c r="T14" s="4">
        <v>1</v>
      </c>
      <c r="U14" s="4" t="s">
        <v>8</v>
      </c>
      <c r="V14" s="4" t="s">
        <v>297</v>
      </c>
      <c r="W14" s="4" t="s">
        <v>298</v>
      </c>
      <c r="X14" s="4" t="s">
        <v>278</v>
      </c>
      <c r="Y14" s="4" t="s">
        <v>250</v>
      </c>
      <c r="Z14" s="4" t="s">
        <v>72</v>
      </c>
      <c r="AA14" s="4" t="s">
        <v>73</v>
      </c>
      <c r="AB14" s="12" t="s">
        <v>235</v>
      </c>
      <c r="AC14" s="10">
        <v>848527420</v>
      </c>
      <c r="AD14" s="10">
        <v>665872</v>
      </c>
      <c r="AE14" s="1">
        <f t="shared" si="0"/>
        <v>972514746</v>
      </c>
      <c r="AF14" s="5">
        <v>42084</v>
      </c>
    </row>
    <row r="15" spans="1:32" x14ac:dyDescent="0.3">
      <c r="A15" s="4">
        <v>67323</v>
      </c>
      <c r="B15" s="4" t="s">
        <v>74</v>
      </c>
      <c r="C15" s="5">
        <v>43349</v>
      </c>
      <c r="D15" s="4" t="s">
        <v>64</v>
      </c>
      <c r="E15" s="4">
        <v>8943</v>
      </c>
      <c r="F15" s="4" t="s">
        <v>75</v>
      </c>
      <c r="G15" s="4" t="s">
        <v>76</v>
      </c>
      <c r="H15" s="12" t="s">
        <v>236</v>
      </c>
      <c r="I15" s="8">
        <v>27439</v>
      </c>
      <c r="J15" s="4">
        <v>46</v>
      </c>
      <c r="K15" s="9" t="s">
        <v>4</v>
      </c>
      <c r="L15" s="4">
        <v>0</v>
      </c>
      <c r="M15" s="9" t="s">
        <v>5</v>
      </c>
      <c r="N15" s="4"/>
      <c r="O15" s="4"/>
      <c r="P15" s="9" t="s">
        <v>6</v>
      </c>
      <c r="Q15" s="4" t="s">
        <v>51</v>
      </c>
      <c r="R15" s="4"/>
      <c r="S15" s="9" t="s">
        <v>4</v>
      </c>
      <c r="T15" s="4">
        <v>1</v>
      </c>
      <c r="U15" s="4" t="s">
        <v>8</v>
      </c>
      <c r="V15" s="4" t="s">
        <v>299</v>
      </c>
      <c r="W15" s="4" t="s">
        <v>300</v>
      </c>
      <c r="X15" s="4" t="s">
        <v>273</v>
      </c>
      <c r="Y15" s="4" t="s">
        <v>251</v>
      </c>
      <c r="Z15" s="4" t="s">
        <v>77</v>
      </c>
      <c r="AA15" s="4" t="s">
        <v>78</v>
      </c>
      <c r="AB15" s="12" t="s">
        <v>237</v>
      </c>
      <c r="AC15" s="10">
        <v>67594482</v>
      </c>
      <c r="AD15" s="10">
        <v>1453946</v>
      </c>
      <c r="AE15" s="1">
        <f t="shared" si="0"/>
        <v>192369882</v>
      </c>
      <c r="AF15" s="5">
        <v>43349</v>
      </c>
    </row>
    <row r="16" spans="1:32" x14ac:dyDescent="0.3">
      <c r="A16" s="4">
        <v>67331</v>
      </c>
      <c r="B16" s="4" t="s">
        <v>0</v>
      </c>
      <c r="C16" s="5">
        <v>40454</v>
      </c>
      <c r="D16" s="4" t="s">
        <v>79</v>
      </c>
      <c r="E16" s="4">
        <v>5737</v>
      </c>
      <c r="F16" s="4" t="s">
        <v>80</v>
      </c>
      <c r="G16" s="4" t="s">
        <v>81</v>
      </c>
      <c r="H16" s="12" t="s">
        <v>236</v>
      </c>
      <c r="I16" s="8">
        <v>27440</v>
      </c>
      <c r="J16" s="4">
        <v>46</v>
      </c>
      <c r="K16" s="9" t="s">
        <v>4</v>
      </c>
      <c r="L16" s="4">
        <v>0</v>
      </c>
      <c r="M16" s="9" t="s">
        <v>5</v>
      </c>
      <c r="N16" s="4"/>
      <c r="O16" s="4"/>
      <c r="P16" s="9" t="s">
        <v>6</v>
      </c>
      <c r="Q16" s="4" t="s">
        <v>51</v>
      </c>
      <c r="R16" s="4"/>
      <c r="S16" s="9" t="s">
        <v>4</v>
      </c>
      <c r="T16" s="4">
        <v>1</v>
      </c>
      <c r="U16" s="4" t="s">
        <v>8</v>
      </c>
      <c r="V16" s="4" t="s">
        <v>306</v>
      </c>
      <c r="W16" s="4" t="s">
        <v>307</v>
      </c>
      <c r="X16" s="4" t="s">
        <v>279</v>
      </c>
      <c r="Y16" s="4" t="s">
        <v>252</v>
      </c>
      <c r="Z16" s="4" t="s">
        <v>82</v>
      </c>
      <c r="AA16" s="4" t="s">
        <v>83</v>
      </c>
      <c r="AB16" s="12" t="s">
        <v>237</v>
      </c>
      <c r="AC16" s="10">
        <v>774182633</v>
      </c>
      <c r="AD16" s="10">
        <v>1641510</v>
      </c>
      <c r="AE16" s="1">
        <f t="shared" si="0"/>
        <v>899145597</v>
      </c>
      <c r="AF16" s="5">
        <v>40454</v>
      </c>
    </row>
    <row r="17" spans="1:32" x14ac:dyDescent="0.3">
      <c r="A17" s="4">
        <v>67355</v>
      </c>
      <c r="B17" s="4" t="s">
        <v>0</v>
      </c>
      <c r="C17" s="5">
        <v>38181</v>
      </c>
      <c r="D17" s="4" t="s">
        <v>84</v>
      </c>
      <c r="E17" s="4">
        <v>5738</v>
      </c>
      <c r="F17" s="4" t="s">
        <v>85</v>
      </c>
      <c r="G17" s="4" t="s">
        <v>86</v>
      </c>
      <c r="H17" s="12" t="s">
        <v>236</v>
      </c>
      <c r="I17" s="8">
        <v>27441</v>
      </c>
      <c r="J17" s="4">
        <v>46</v>
      </c>
      <c r="K17" s="9" t="s">
        <v>4</v>
      </c>
      <c r="L17" s="4">
        <v>0</v>
      </c>
      <c r="M17" s="9" t="s">
        <v>5</v>
      </c>
      <c r="N17" s="4"/>
      <c r="O17" s="4"/>
      <c r="P17" s="9" t="s">
        <v>6</v>
      </c>
      <c r="Q17" s="4" t="s">
        <v>51</v>
      </c>
      <c r="R17" s="4"/>
      <c r="S17" s="9" t="s">
        <v>4</v>
      </c>
      <c r="T17" s="4">
        <v>1</v>
      </c>
      <c r="U17" s="4" t="s">
        <v>8</v>
      </c>
      <c r="V17" s="4" t="s">
        <v>293</v>
      </c>
      <c r="W17" s="4" t="s">
        <v>294</v>
      </c>
      <c r="X17" s="4" t="s">
        <v>280</v>
      </c>
      <c r="Y17" s="4" t="s">
        <v>253</v>
      </c>
      <c r="Z17" s="4" t="s">
        <v>87</v>
      </c>
      <c r="AA17" s="4" t="s">
        <v>88</v>
      </c>
      <c r="AB17" s="12" t="s">
        <v>237</v>
      </c>
      <c r="AC17" s="10">
        <v>1293161407</v>
      </c>
      <c r="AD17" s="10">
        <v>1625665</v>
      </c>
      <c r="AE17" s="1">
        <f t="shared" si="0"/>
        <v>1418108526</v>
      </c>
      <c r="AF17" s="5">
        <v>38181</v>
      </c>
    </row>
    <row r="18" spans="1:32" x14ac:dyDescent="0.3">
      <c r="A18" s="4">
        <v>87407</v>
      </c>
      <c r="B18" s="4" t="s">
        <v>0</v>
      </c>
      <c r="C18" s="5">
        <v>39695</v>
      </c>
      <c r="D18" s="4" t="s">
        <v>89</v>
      </c>
      <c r="E18" s="4">
        <v>1256</v>
      </c>
      <c r="F18" s="4" t="s">
        <v>90</v>
      </c>
      <c r="G18" s="4" t="s">
        <v>91</v>
      </c>
      <c r="H18" s="12" t="s">
        <v>236</v>
      </c>
      <c r="I18" s="8">
        <v>29468</v>
      </c>
      <c r="J18" s="4">
        <v>41</v>
      </c>
      <c r="K18" s="9" t="s">
        <v>4</v>
      </c>
      <c r="L18" s="4">
        <v>0</v>
      </c>
      <c r="M18" s="9" t="s">
        <v>5</v>
      </c>
      <c r="N18" s="4"/>
      <c r="O18" s="4"/>
      <c r="P18" s="9" t="s">
        <v>6</v>
      </c>
      <c r="Q18" s="4" t="s">
        <v>92</v>
      </c>
      <c r="R18" s="4"/>
      <c r="S18" s="9" t="s">
        <v>4</v>
      </c>
      <c r="T18" s="4">
        <v>2</v>
      </c>
      <c r="U18" s="4" t="s">
        <v>8</v>
      </c>
      <c r="V18" s="4" t="s">
        <v>308</v>
      </c>
      <c r="W18" s="4" t="s">
        <v>309</v>
      </c>
      <c r="X18" s="4" t="s">
        <v>281</v>
      </c>
      <c r="Y18" s="4" t="s">
        <v>254</v>
      </c>
      <c r="Z18" s="4" t="s">
        <v>93</v>
      </c>
      <c r="AA18" s="4" t="s">
        <v>94</v>
      </c>
      <c r="AB18" s="12" t="s">
        <v>235</v>
      </c>
      <c r="AC18" s="10">
        <v>1682766259</v>
      </c>
      <c r="AD18" s="10">
        <v>430057</v>
      </c>
      <c r="AE18" s="1">
        <f t="shared" si="0"/>
        <v>1806517770</v>
      </c>
      <c r="AF18" s="5">
        <v>39695</v>
      </c>
    </row>
    <row r="19" spans="1:32" x14ac:dyDescent="0.3">
      <c r="A19" s="4">
        <v>87431</v>
      </c>
      <c r="B19" s="4" t="s">
        <v>0</v>
      </c>
      <c r="C19" s="5">
        <v>43948</v>
      </c>
      <c r="D19" s="4" t="s">
        <v>95</v>
      </c>
      <c r="E19" s="4">
        <v>8054</v>
      </c>
      <c r="F19" s="4" t="s">
        <v>96</v>
      </c>
      <c r="G19" s="4" t="s">
        <v>97</v>
      </c>
      <c r="H19" s="12" t="s">
        <v>236</v>
      </c>
      <c r="I19" s="8">
        <v>29469</v>
      </c>
      <c r="J19" s="4">
        <v>41</v>
      </c>
      <c r="K19" s="9" t="s">
        <v>4</v>
      </c>
      <c r="L19" s="4">
        <v>0</v>
      </c>
      <c r="M19" s="9" t="s">
        <v>5</v>
      </c>
      <c r="N19" s="4"/>
      <c r="O19" s="4"/>
      <c r="P19" s="9" t="s">
        <v>6</v>
      </c>
      <c r="Q19" s="4" t="s">
        <v>25</v>
      </c>
      <c r="R19" s="4"/>
      <c r="S19" s="9" t="s">
        <v>4</v>
      </c>
      <c r="T19" s="4">
        <v>1</v>
      </c>
      <c r="U19" s="4" t="s">
        <v>98</v>
      </c>
      <c r="V19" s="4" t="s">
        <v>291</v>
      </c>
      <c r="W19" s="4" t="s">
        <v>292</v>
      </c>
      <c r="X19" s="4" t="s">
        <v>282</v>
      </c>
      <c r="Y19" s="4" t="s">
        <v>255</v>
      </c>
      <c r="Z19" s="4" t="s">
        <v>99</v>
      </c>
      <c r="AA19" s="4" t="s">
        <v>100</v>
      </c>
      <c r="AB19" s="12" t="s">
        <v>235</v>
      </c>
      <c r="AC19" s="10">
        <v>1661141009</v>
      </c>
      <c r="AD19" s="10">
        <v>1983585</v>
      </c>
      <c r="AE19" s="1">
        <f t="shared" si="0"/>
        <v>1786446048</v>
      </c>
      <c r="AF19" s="5">
        <v>43948</v>
      </c>
    </row>
    <row r="20" spans="1:32" x14ac:dyDescent="0.3">
      <c r="A20" s="4">
        <v>101726</v>
      </c>
      <c r="B20" s="4" t="s">
        <v>0</v>
      </c>
      <c r="C20" s="5">
        <v>39145</v>
      </c>
      <c r="D20" s="4" t="s">
        <v>101</v>
      </c>
      <c r="E20" s="4">
        <v>7073</v>
      </c>
      <c r="F20" s="4" t="s">
        <v>102</v>
      </c>
      <c r="G20" s="4" t="s">
        <v>103</v>
      </c>
      <c r="H20" s="12" t="s">
        <v>236</v>
      </c>
      <c r="I20" s="8">
        <v>29470</v>
      </c>
      <c r="J20" s="4">
        <v>41</v>
      </c>
      <c r="K20" s="9" t="s">
        <v>104</v>
      </c>
      <c r="L20" s="4">
        <v>0</v>
      </c>
      <c r="M20" s="9" t="s">
        <v>5</v>
      </c>
      <c r="N20" s="4"/>
      <c r="O20" s="4"/>
      <c r="P20" s="9" t="s">
        <v>6</v>
      </c>
      <c r="Q20" s="4" t="s">
        <v>25</v>
      </c>
      <c r="R20" s="4"/>
      <c r="S20" s="9" t="s">
        <v>4</v>
      </c>
      <c r="T20" s="4">
        <v>3</v>
      </c>
      <c r="U20" s="4" t="s">
        <v>8</v>
      </c>
      <c r="V20" s="4" t="s">
        <v>310</v>
      </c>
      <c r="W20" s="4" t="s">
        <v>311</v>
      </c>
      <c r="X20" s="4" t="s">
        <v>283</v>
      </c>
      <c r="Y20" s="4" t="s">
        <v>256</v>
      </c>
      <c r="Z20" s="4" t="s">
        <v>105</v>
      </c>
      <c r="AA20" s="4">
        <v>4048247467</v>
      </c>
      <c r="AB20" s="12" t="s">
        <v>235</v>
      </c>
      <c r="AC20" s="10">
        <v>1353627390</v>
      </c>
      <c r="AD20" s="10">
        <v>988680</v>
      </c>
      <c r="AE20" s="1">
        <f t="shared" si="0"/>
        <v>1477937524</v>
      </c>
      <c r="AF20" s="5">
        <v>39145</v>
      </c>
    </row>
    <row r="21" spans="1:32" x14ac:dyDescent="0.3">
      <c r="A21" s="4">
        <v>102114</v>
      </c>
      <c r="B21" s="4" t="s">
        <v>0</v>
      </c>
      <c r="C21" s="5">
        <v>40148</v>
      </c>
      <c r="D21" s="4" t="s">
        <v>106</v>
      </c>
      <c r="E21" s="4">
        <v>3764</v>
      </c>
      <c r="F21" s="4" t="s">
        <v>107</v>
      </c>
      <c r="G21" s="4" t="s">
        <v>108</v>
      </c>
      <c r="H21" s="12" t="s">
        <v>236</v>
      </c>
      <c r="I21" s="8">
        <v>29471</v>
      </c>
      <c r="J21" s="4">
        <v>41</v>
      </c>
      <c r="K21" s="9" t="s">
        <v>4</v>
      </c>
      <c r="L21" s="4">
        <v>0</v>
      </c>
      <c r="M21" s="9" t="s">
        <v>5</v>
      </c>
      <c r="N21" s="4"/>
      <c r="O21" s="4"/>
      <c r="P21" s="9" t="s">
        <v>6</v>
      </c>
      <c r="Q21" s="4" t="s">
        <v>25</v>
      </c>
      <c r="R21" s="4"/>
      <c r="S21" s="9" t="s">
        <v>4</v>
      </c>
      <c r="T21" s="4">
        <v>4</v>
      </c>
      <c r="U21" s="4" t="s">
        <v>8</v>
      </c>
      <c r="V21" s="4" t="s">
        <v>301</v>
      </c>
      <c r="W21" s="4" t="s">
        <v>302</v>
      </c>
      <c r="X21" s="4" t="s">
        <v>284</v>
      </c>
      <c r="Y21" s="4" t="s">
        <v>257</v>
      </c>
      <c r="Z21" s="4" t="s">
        <v>109</v>
      </c>
      <c r="AA21" s="4">
        <v>7703843278</v>
      </c>
      <c r="AB21" s="12" t="s">
        <v>237</v>
      </c>
      <c r="AC21" s="10">
        <v>1690254894</v>
      </c>
      <c r="AD21" s="10">
        <v>634839</v>
      </c>
      <c r="AE21" s="1">
        <f t="shared" si="0"/>
        <v>1814211187</v>
      </c>
      <c r="AF21" s="5">
        <v>40148</v>
      </c>
    </row>
    <row r="22" spans="1:32" x14ac:dyDescent="0.3">
      <c r="A22" s="4">
        <v>102503</v>
      </c>
      <c r="B22" s="4" t="s">
        <v>0</v>
      </c>
      <c r="C22" s="5">
        <v>41650</v>
      </c>
      <c r="D22" s="4"/>
      <c r="E22" s="4">
        <v>7860</v>
      </c>
      <c r="F22" s="4" t="s">
        <v>110</v>
      </c>
      <c r="G22" s="4" t="s">
        <v>111</v>
      </c>
      <c r="H22" s="12" t="s">
        <v>236</v>
      </c>
      <c r="I22" s="8">
        <v>29472</v>
      </c>
      <c r="J22" s="4">
        <v>41</v>
      </c>
      <c r="K22" s="9" t="s">
        <v>4</v>
      </c>
      <c r="L22" s="4">
        <v>0</v>
      </c>
      <c r="M22" s="9" t="s">
        <v>5</v>
      </c>
      <c r="N22" s="4"/>
      <c r="O22" s="4"/>
      <c r="P22" s="9" t="s">
        <v>6</v>
      </c>
      <c r="Q22" s="4" t="s">
        <v>37</v>
      </c>
      <c r="R22" s="4"/>
      <c r="S22" s="9" t="s">
        <v>4</v>
      </c>
      <c r="T22" s="4">
        <v>1</v>
      </c>
      <c r="U22" s="4" t="s">
        <v>8</v>
      </c>
      <c r="V22" s="4" t="s">
        <v>297</v>
      </c>
      <c r="W22" s="4" t="s">
        <v>298</v>
      </c>
      <c r="X22" s="4" t="s">
        <v>278</v>
      </c>
      <c r="Y22" s="4" t="s">
        <v>258</v>
      </c>
      <c r="Z22" s="4" t="s">
        <v>112</v>
      </c>
      <c r="AA22" s="4"/>
      <c r="AB22" s="12" t="s">
        <v>237</v>
      </c>
      <c r="AC22" s="10">
        <v>541294003</v>
      </c>
      <c r="AD22" s="10">
        <v>1316322</v>
      </c>
      <c r="AE22" s="1">
        <f t="shared" si="0"/>
        <v>665931779</v>
      </c>
      <c r="AF22" s="5">
        <v>41650</v>
      </c>
    </row>
    <row r="23" spans="1:32" x14ac:dyDescent="0.3">
      <c r="A23" s="4">
        <v>105511</v>
      </c>
      <c r="B23" s="4" t="s">
        <v>0</v>
      </c>
      <c r="C23" s="5">
        <v>38722</v>
      </c>
      <c r="D23" s="4" t="s">
        <v>113</v>
      </c>
      <c r="E23" s="4">
        <v>7861</v>
      </c>
      <c r="F23" s="4" t="s">
        <v>114</v>
      </c>
      <c r="G23" s="4" t="s">
        <v>97</v>
      </c>
      <c r="H23" s="12" t="s">
        <v>236</v>
      </c>
      <c r="I23" s="8">
        <v>29473</v>
      </c>
      <c r="J23" s="4">
        <v>41</v>
      </c>
      <c r="K23" s="9" t="s">
        <v>4</v>
      </c>
      <c r="L23" s="4">
        <v>0</v>
      </c>
      <c r="M23" s="9" t="s">
        <v>5</v>
      </c>
      <c r="N23" s="4"/>
      <c r="O23" s="4"/>
      <c r="P23" s="9" t="s">
        <v>6</v>
      </c>
      <c r="Q23" s="4" t="s">
        <v>31</v>
      </c>
      <c r="R23" s="4"/>
      <c r="S23" s="9" t="s">
        <v>4</v>
      </c>
      <c r="T23" s="4">
        <v>2</v>
      </c>
      <c r="U23" s="4" t="s">
        <v>8</v>
      </c>
      <c r="V23" s="4" t="s">
        <v>312</v>
      </c>
      <c r="W23" s="4" t="s">
        <v>313</v>
      </c>
      <c r="X23" s="4" t="s">
        <v>285</v>
      </c>
      <c r="Y23" s="4" t="s">
        <v>259</v>
      </c>
      <c r="Z23" s="4" t="s">
        <v>115</v>
      </c>
      <c r="AA23" s="4">
        <v>4153200383</v>
      </c>
      <c r="AB23" s="12" t="s">
        <v>235</v>
      </c>
      <c r="AC23" s="10">
        <v>155801653</v>
      </c>
      <c r="AD23" s="10">
        <v>747357</v>
      </c>
      <c r="AE23" s="1">
        <f t="shared" si="0"/>
        <v>279870464</v>
      </c>
      <c r="AF23" s="5">
        <v>38722</v>
      </c>
    </row>
    <row r="24" spans="1:32" x14ac:dyDescent="0.3">
      <c r="A24" s="4">
        <v>105530</v>
      </c>
      <c r="B24" s="4" t="s">
        <v>0</v>
      </c>
      <c r="C24" s="5">
        <v>38984</v>
      </c>
      <c r="D24" s="4" t="s">
        <v>116</v>
      </c>
      <c r="E24" s="4">
        <v>7862</v>
      </c>
      <c r="F24" s="4" t="s">
        <v>65</v>
      </c>
      <c r="G24" s="4" t="s">
        <v>117</v>
      </c>
      <c r="H24" s="12" t="s">
        <v>236</v>
      </c>
      <c r="I24" s="8">
        <v>29474</v>
      </c>
      <c r="J24" s="4">
        <v>41</v>
      </c>
      <c r="K24" s="9" t="s">
        <v>4</v>
      </c>
      <c r="L24" s="4">
        <v>0</v>
      </c>
      <c r="M24" s="9" t="s">
        <v>5</v>
      </c>
      <c r="N24" s="4"/>
      <c r="O24" s="4"/>
      <c r="P24" s="9" t="s">
        <v>6</v>
      </c>
      <c r="Q24" s="4" t="s">
        <v>118</v>
      </c>
      <c r="R24" s="4"/>
      <c r="S24" s="9" t="s">
        <v>4</v>
      </c>
      <c r="T24" s="4">
        <v>1</v>
      </c>
      <c r="U24" s="4" t="s">
        <v>8</v>
      </c>
      <c r="V24" s="4" t="s">
        <v>299</v>
      </c>
      <c r="W24" s="4" t="s">
        <v>300</v>
      </c>
      <c r="X24" s="4" t="s">
        <v>286</v>
      </c>
      <c r="Y24" s="4" t="s">
        <v>260</v>
      </c>
      <c r="Z24" s="4" t="s">
        <v>119</v>
      </c>
      <c r="AA24" s="4" t="s">
        <v>120</v>
      </c>
      <c r="AB24" s="12" t="s">
        <v>235</v>
      </c>
      <c r="AC24" s="10">
        <v>746247318</v>
      </c>
      <c r="AD24" s="10">
        <v>1234645</v>
      </c>
      <c r="AE24" s="1">
        <f t="shared" si="0"/>
        <v>870803417</v>
      </c>
      <c r="AF24" s="5">
        <v>38984</v>
      </c>
    </row>
    <row r="25" spans="1:32" x14ac:dyDescent="0.3">
      <c r="A25" s="4">
        <v>105599</v>
      </c>
      <c r="B25" s="4" t="s">
        <v>74</v>
      </c>
      <c r="C25" s="5">
        <v>41785</v>
      </c>
      <c r="D25" s="4"/>
      <c r="E25" s="4">
        <v>5672</v>
      </c>
      <c r="F25" s="4" t="s">
        <v>121</v>
      </c>
      <c r="G25" s="4" t="s">
        <v>122</v>
      </c>
      <c r="H25" s="12" t="s">
        <v>236</v>
      </c>
      <c r="I25" s="8">
        <v>29475</v>
      </c>
      <c r="J25" s="4">
        <v>41</v>
      </c>
      <c r="K25" s="9" t="s">
        <v>4</v>
      </c>
      <c r="L25" s="4">
        <v>0</v>
      </c>
      <c r="M25" s="9" t="s">
        <v>5</v>
      </c>
      <c r="N25" s="4"/>
      <c r="O25" s="4"/>
      <c r="P25" s="9" t="s">
        <v>6</v>
      </c>
      <c r="Q25" s="4" t="s">
        <v>37</v>
      </c>
      <c r="R25" s="4"/>
      <c r="S25" s="9" t="s">
        <v>4</v>
      </c>
      <c r="T25" s="4">
        <v>1</v>
      </c>
      <c r="U25" s="4" t="s">
        <v>8</v>
      </c>
      <c r="V25" s="4" t="s">
        <v>310</v>
      </c>
      <c r="W25" s="4" t="s">
        <v>311</v>
      </c>
      <c r="X25" s="4" t="s">
        <v>287</v>
      </c>
      <c r="Y25" s="4" t="s">
        <v>261</v>
      </c>
      <c r="Z25" s="4" t="s">
        <v>123</v>
      </c>
      <c r="AA25" s="4"/>
      <c r="AB25" s="12" t="s">
        <v>235</v>
      </c>
      <c r="AC25" s="10">
        <v>1089734393</v>
      </c>
      <c r="AD25" s="10">
        <v>68840</v>
      </c>
      <c r="AE25" s="1">
        <f t="shared" si="0"/>
        <v>1213124687</v>
      </c>
      <c r="AF25" s="5">
        <v>41785</v>
      </c>
    </row>
    <row r="26" spans="1:32" x14ac:dyDescent="0.3">
      <c r="A26" s="4">
        <v>105600</v>
      </c>
      <c r="B26" s="4" t="s">
        <v>0</v>
      </c>
      <c r="C26" s="5">
        <v>43581</v>
      </c>
      <c r="D26" s="4"/>
      <c r="E26" s="4">
        <v>6274</v>
      </c>
      <c r="F26" s="4" t="s">
        <v>124</v>
      </c>
      <c r="G26" s="4" t="s">
        <v>125</v>
      </c>
      <c r="H26" s="12" t="s">
        <v>236</v>
      </c>
      <c r="I26" s="8">
        <v>29476</v>
      </c>
      <c r="J26" s="4">
        <v>41</v>
      </c>
      <c r="K26" s="9" t="s">
        <v>4</v>
      </c>
      <c r="L26" s="4">
        <v>0</v>
      </c>
      <c r="M26" s="9" t="s">
        <v>5</v>
      </c>
      <c r="N26" s="4"/>
      <c r="O26" s="4"/>
      <c r="P26" s="9" t="s">
        <v>6</v>
      </c>
      <c r="Q26" s="4" t="s">
        <v>37</v>
      </c>
      <c r="R26" s="4"/>
      <c r="S26" s="9" t="s">
        <v>4</v>
      </c>
      <c r="T26" s="4">
        <v>2</v>
      </c>
      <c r="U26" s="4" t="s">
        <v>8</v>
      </c>
      <c r="V26" s="4" t="s">
        <v>295</v>
      </c>
      <c r="W26" s="4" t="s">
        <v>296</v>
      </c>
      <c r="X26" s="4" t="s">
        <v>288</v>
      </c>
      <c r="Y26" s="4" t="s">
        <v>262</v>
      </c>
      <c r="Z26" s="4" t="s">
        <v>126</v>
      </c>
      <c r="AA26" s="4"/>
      <c r="AB26" s="12" t="s">
        <v>235</v>
      </c>
      <c r="AC26" s="10">
        <v>125328431</v>
      </c>
      <c r="AD26" s="10">
        <v>879338</v>
      </c>
      <c r="AE26" s="1">
        <f t="shared" si="0"/>
        <v>249529223</v>
      </c>
      <c r="AF26" s="5">
        <v>43581</v>
      </c>
    </row>
    <row r="27" spans="1:32" x14ac:dyDescent="0.3">
      <c r="A27" s="4">
        <v>105601</v>
      </c>
      <c r="B27" s="4" t="s">
        <v>0</v>
      </c>
      <c r="C27" s="5">
        <v>41292</v>
      </c>
      <c r="D27" s="4"/>
      <c r="E27" s="4">
        <v>4884</v>
      </c>
      <c r="F27" s="4" t="s">
        <v>127</v>
      </c>
      <c r="G27" s="4" t="s">
        <v>128</v>
      </c>
      <c r="H27" s="12" t="s">
        <v>236</v>
      </c>
      <c r="I27" s="8">
        <v>29477</v>
      </c>
      <c r="J27" s="4">
        <v>41</v>
      </c>
      <c r="K27" s="9" t="s">
        <v>4</v>
      </c>
      <c r="L27" s="4">
        <v>0</v>
      </c>
      <c r="M27" s="9" t="s">
        <v>5</v>
      </c>
      <c r="N27" s="4"/>
      <c r="O27" s="4"/>
      <c r="P27" s="9" t="s">
        <v>6</v>
      </c>
      <c r="Q27" s="4" t="s">
        <v>37</v>
      </c>
      <c r="R27" s="4"/>
      <c r="S27" s="9" t="s">
        <v>4</v>
      </c>
      <c r="T27" s="4">
        <v>1</v>
      </c>
      <c r="U27" s="4" t="s">
        <v>8</v>
      </c>
      <c r="V27" s="4" t="s">
        <v>306</v>
      </c>
      <c r="W27" s="4" t="s">
        <v>307</v>
      </c>
      <c r="X27" s="4" t="s">
        <v>289</v>
      </c>
      <c r="Y27" s="4" t="s">
        <v>263</v>
      </c>
      <c r="Z27" s="4" t="s">
        <v>129</v>
      </c>
      <c r="AA27" s="4"/>
      <c r="AB27" s="12" t="s">
        <v>235</v>
      </c>
      <c r="AC27" s="10">
        <v>641251369</v>
      </c>
      <c r="AD27" s="10">
        <v>399605</v>
      </c>
      <c r="AE27" s="1">
        <f t="shared" si="0"/>
        <v>764972428</v>
      </c>
      <c r="AF27" s="5">
        <v>41292</v>
      </c>
    </row>
    <row r="28" spans="1:32" x14ac:dyDescent="0.3">
      <c r="A28" s="4">
        <v>105857</v>
      </c>
      <c r="B28" s="4" t="s">
        <v>0</v>
      </c>
      <c r="C28" s="5">
        <v>38720</v>
      </c>
      <c r="D28" s="4" t="s">
        <v>130</v>
      </c>
      <c r="E28" s="4">
        <v>8442</v>
      </c>
      <c r="F28" s="4" t="s">
        <v>128</v>
      </c>
      <c r="G28" s="4" t="s">
        <v>131</v>
      </c>
      <c r="H28" s="12" t="s">
        <v>236</v>
      </c>
      <c r="I28" s="8">
        <v>29478</v>
      </c>
      <c r="J28" s="4">
        <v>41</v>
      </c>
      <c r="K28" s="9" t="s">
        <v>4</v>
      </c>
      <c r="L28" s="4">
        <v>0</v>
      </c>
      <c r="M28" s="9" t="s">
        <v>5</v>
      </c>
      <c r="N28" s="4"/>
      <c r="O28" s="4"/>
      <c r="P28" s="9" t="s">
        <v>6</v>
      </c>
      <c r="Q28" s="4" t="s">
        <v>132</v>
      </c>
      <c r="R28" s="4"/>
      <c r="S28" s="9" t="s">
        <v>4</v>
      </c>
      <c r="T28" s="4">
        <v>3</v>
      </c>
      <c r="U28" s="4" t="s">
        <v>8</v>
      </c>
      <c r="V28" s="4" t="s">
        <v>312</v>
      </c>
      <c r="W28" s="4" t="s">
        <v>313</v>
      </c>
      <c r="X28" s="4" t="s">
        <v>290</v>
      </c>
      <c r="Y28" s="4" t="s">
        <v>264</v>
      </c>
      <c r="Z28" s="4" t="s">
        <v>133</v>
      </c>
      <c r="AA28" s="4" t="s">
        <v>134</v>
      </c>
      <c r="AB28" s="12" t="s">
        <v>235</v>
      </c>
      <c r="AC28" s="10">
        <v>1600875522</v>
      </c>
      <c r="AD28" s="10">
        <v>782899</v>
      </c>
      <c r="AE28" s="1">
        <f t="shared" si="0"/>
        <v>1724979875</v>
      </c>
      <c r="AF28" s="5">
        <v>38720</v>
      </c>
    </row>
    <row r="29" spans="1:32" x14ac:dyDescent="0.3">
      <c r="A29" s="4">
        <v>105858</v>
      </c>
      <c r="B29" s="4" t="s">
        <v>0</v>
      </c>
      <c r="C29" s="5">
        <v>43740</v>
      </c>
      <c r="D29" s="4" t="s">
        <v>135</v>
      </c>
      <c r="E29" s="4">
        <v>1738</v>
      </c>
      <c r="F29" s="4" t="s">
        <v>136</v>
      </c>
      <c r="G29" s="4" t="s">
        <v>137</v>
      </c>
      <c r="H29" s="12" t="s">
        <v>236</v>
      </c>
      <c r="I29" s="8">
        <v>29479</v>
      </c>
      <c r="J29" s="4">
        <v>41</v>
      </c>
      <c r="K29" s="9" t="s">
        <v>4</v>
      </c>
      <c r="L29" s="4">
        <v>0</v>
      </c>
      <c r="M29" s="9" t="s">
        <v>5</v>
      </c>
      <c r="N29" s="4"/>
      <c r="O29" s="4"/>
      <c r="P29" s="9" t="s">
        <v>6</v>
      </c>
      <c r="Q29" s="4" t="s">
        <v>132</v>
      </c>
      <c r="R29" s="4"/>
      <c r="S29" s="9" t="s">
        <v>4</v>
      </c>
      <c r="T29" s="4">
        <v>1</v>
      </c>
      <c r="U29" s="4" t="s">
        <v>8</v>
      </c>
      <c r="V29" s="4" t="s">
        <v>297</v>
      </c>
      <c r="W29" s="4" t="s">
        <v>298</v>
      </c>
      <c r="X29" s="4" t="s">
        <v>278</v>
      </c>
      <c r="Y29" s="4" t="s">
        <v>265</v>
      </c>
      <c r="Z29" s="4" t="s">
        <v>138</v>
      </c>
      <c r="AA29" s="4" t="s">
        <v>139</v>
      </c>
      <c r="AB29" s="12" t="s">
        <v>235</v>
      </c>
      <c r="AC29" s="10">
        <v>1024144565</v>
      </c>
      <c r="AD29" s="10">
        <v>1862555</v>
      </c>
      <c r="AE29" s="1">
        <f t="shared" si="0"/>
        <v>1149328574</v>
      </c>
      <c r="AF29" s="5">
        <v>43740</v>
      </c>
    </row>
    <row r="30" spans="1:32" x14ac:dyDescent="0.3">
      <c r="A30" s="4">
        <v>105907</v>
      </c>
      <c r="B30" s="4" t="s">
        <v>0</v>
      </c>
      <c r="C30" s="5">
        <v>38221</v>
      </c>
      <c r="D30" s="4"/>
      <c r="E30" s="4">
        <v>1588</v>
      </c>
      <c r="F30" s="4" t="s">
        <v>140</v>
      </c>
      <c r="G30" s="4" t="s">
        <v>141</v>
      </c>
      <c r="H30" s="12" t="s">
        <v>236</v>
      </c>
      <c r="I30" s="8">
        <v>29480</v>
      </c>
      <c r="J30" s="4">
        <v>41</v>
      </c>
      <c r="K30" s="9" t="s">
        <v>4</v>
      </c>
      <c r="L30" s="4">
        <v>0</v>
      </c>
      <c r="M30" s="9" t="s">
        <v>5</v>
      </c>
      <c r="N30" s="4"/>
      <c r="O30" s="4"/>
      <c r="P30" s="9" t="s">
        <v>6</v>
      </c>
      <c r="Q30" s="4" t="s">
        <v>37</v>
      </c>
      <c r="R30" s="4"/>
      <c r="S30" s="9" t="s">
        <v>4</v>
      </c>
      <c r="T30" s="4">
        <v>2</v>
      </c>
      <c r="U30" s="4" t="s">
        <v>8</v>
      </c>
      <c r="V30" s="4" t="s">
        <v>303</v>
      </c>
      <c r="W30" s="4" t="s">
        <v>275</v>
      </c>
      <c r="X30" s="4" t="s">
        <v>275</v>
      </c>
      <c r="Y30" s="4" t="s">
        <v>266</v>
      </c>
      <c r="Z30" s="4" t="s">
        <v>142</v>
      </c>
      <c r="AA30" s="4"/>
      <c r="AB30" s="12" t="s">
        <v>235</v>
      </c>
      <c r="AC30" s="10">
        <v>1294176783</v>
      </c>
      <c r="AD30" s="10">
        <v>497317</v>
      </c>
      <c r="AE30" s="1">
        <f t="shared" si="0"/>
        <v>1417995554</v>
      </c>
      <c r="AF30" s="5">
        <v>38221</v>
      </c>
    </row>
    <row r="31" spans="1:32" x14ac:dyDescent="0.3">
      <c r="A31" s="4">
        <v>163999</v>
      </c>
      <c r="B31" s="4" t="s">
        <v>0</v>
      </c>
      <c r="C31" s="5">
        <v>41998</v>
      </c>
      <c r="D31" s="4" t="s">
        <v>143</v>
      </c>
      <c r="E31" s="4">
        <v>7695</v>
      </c>
      <c r="F31" s="4" t="s">
        <v>144</v>
      </c>
      <c r="G31" s="4" t="s">
        <v>145</v>
      </c>
      <c r="H31" s="12" t="s">
        <v>236</v>
      </c>
      <c r="I31" s="8">
        <v>29481</v>
      </c>
      <c r="J31" s="4">
        <v>41</v>
      </c>
      <c r="K31" s="9" t="s">
        <v>4</v>
      </c>
      <c r="L31" s="4">
        <v>0</v>
      </c>
      <c r="M31" s="9" t="s">
        <v>5</v>
      </c>
      <c r="N31" s="4"/>
      <c r="O31" s="4"/>
      <c r="P31" s="9" t="s">
        <v>6</v>
      </c>
      <c r="Q31" s="4" t="s">
        <v>146</v>
      </c>
      <c r="R31" s="4"/>
      <c r="S31" s="9" t="s">
        <v>4</v>
      </c>
      <c r="T31" s="4">
        <v>1</v>
      </c>
      <c r="U31" s="4" t="s">
        <v>8</v>
      </c>
      <c r="V31" s="4" t="s">
        <v>291</v>
      </c>
      <c r="W31" s="4" t="s">
        <v>292</v>
      </c>
      <c r="X31" s="4" t="s">
        <v>267</v>
      </c>
      <c r="Y31" s="4" t="s">
        <v>314</v>
      </c>
      <c r="Z31" s="4" t="s">
        <v>147</v>
      </c>
      <c r="AA31" s="4">
        <v>6123046073</v>
      </c>
      <c r="AB31" s="12" t="s">
        <v>235</v>
      </c>
      <c r="AC31" s="10">
        <v>1303917148</v>
      </c>
      <c r="AD31" s="10">
        <v>987696</v>
      </c>
      <c r="AE31" s="1">
        <f t="shared" si="0"/>
        <v>1428226298</v>
      </c>
      <c r="AF31" s="5">
        <v>41998</v>
      </c>
    </row>
    <row r="32" spans="1:32" x14ac:dyDescent="0.3">
      <c r="A32" s="4">
        <v>167945</v>
      </c>
      <c r="B32" s="4" t="s">
        <v>0</v>
      </c>
      <c r="C32" s="5">
        <v>40560</v>
      </c>
      <c r="D32" s="4" t="s">
        <v>148</v>
      </c>
      <c r="E32" s="4">
        <v>6053</v>
      </c>
      <c r="F32" s="4" t="s">
        <v>149</v>
      </c>
      <c r="G32" s="4" t="s">
        <v>150</v>
      </c>
      <c r="H32" s="12" t="s">
        <v>236</v>
      </c>
      <c r="I32" s="8">
        <v>29482</v>
      </c>
      <c r="J32" s="4">
        <v>41</v>
      </c>
      <c r="K32" s="9" t="s">
        <v>4</v>
      </c>
      <c r="L32" s="4">
        <v>0</v>
      </c>
      <c r="M32" s="9" t="s">
        <v>5</v>
      </c>
      <c r="N32" s="4"/>
      <c r="O32" s="4"/>
      <c r="P32" s="9" t="s">
        <v>6</v>
      </c>
      <c r="Q32" s="4" t="s">
        <v>146</v>
      </c>
      <c r="R32" s="4"/>
      <c r="S32" s="9" t="s">
        <v>4</v>
      </c>
      <c r="T32" s="4">
        <v>1</v>
      </c>
      <c r="U32" s="4" t="s">
        <v>8</v>
      </c>
      <c r="V32" s="4" t="s">
        <v>293</v>
      </c>
      <c r="W32" s="4" t="s">
        <v>294</v>
      </c>
      <c r="X32" s="4" t="s">
        <v>268</v>
      </c>
      <c r="Y32" s="4" t="s">
        <v>315</v>
      </c>
      <c r="Z32" s="4" t="s">
        <v>151</v>
      </c>
      <c r="AA32" s="4">
        <v>6123046073</v>
      </c>
      <c r="AB32" s="12" t="s">
        <v>235</v>
      </c>
      <c r="AC32" s="10">
        <v>17419981</v>
      </c>
      <c r="AD32" s="10">
        <v>242886</v>
      </c>
      <c r="AE32" s="1">
        <f t="shared" si="0"/>
        <v>140984321</v>
      </c>
      <c r="AF32" s="5">
        <v>40560</v>
      </c>
    </row>
    <row r="33" spans="1:32" x14ac:dyDescent="0.3">
      <c r="A33" s="4">
        <v>173097</v>
      </c>
      <c r="B33" s="4" t="s">
        <v>0</v>
      </c>
      <c r="C33" s="5">
        <v>41543</v>
      </c>
      <c r="D33" s="4" t="s">
        <v>89</v>
      </c>
      <c r="E33" s="4">
        <v>7633</v>
      </c>
      <c r="F33" s="4" t="s">
        <v>152</v>
      </c>
      <c r="G33" s="4" t="s">
        <v>153</v>
      </c>
      <c r="H33" s="12" t="s">
        <v>236</v>
      </c>
      <c r="I33" s="8">
        <v>29483</v>
      </c>
      <c r="J33" s="4">
        <v>41</v>
      </c>
      <c r="K33" s="9" t="s">
        <v>4</v>
      </c>
      <c r="L33" s="4">
        <v>0</v>
      </c>
      <c r="M33" s="9" t="s">
        <v>5</v>
      </c>
      <c r="N33" s="4"/>
      <c r="O33" s="4"/>
      <c r="P33" s="9" t="s">
        <v>6</v>
      </c>
      <c r="Q33" s="4" t="s">
        <v>25</v>
      </c>
      <c r="R33" s="4"/>
      <c r="S33" s="9" t="s">
        <v>4</v>
      </c>
      <c r="T33" s="4">
        <v>1</v>
      </c>
      <c r="U33" s="4" t="s">
        <v>8</v>
      </c>
      <c r="V33" s="4" t="s">
        <v>295</v>
      </c>
      <c r="W33" s="4" t="s">
        <v>296</v>
      </c>
      <c r="X33" s="4" t="s">
        <v>269</v>
      </c>
      <c r="Y33" s="4" t="s">
        <v>317</v>
      </c>
      <c r="Z33" s="4" t="s">
        <v>154</v>
      </c>
      <c r="AA33" s="4">
        <v>5129772000</v>
      </c>
      <c r="AB33" s="12" t="s">
        <v>235</v>
      </c>
      <c r="AC33" s="10">
        <v>359170293</v>
      </c>
      <c r="AD33" s="10">
        <v>795606</v>
      </c>
      <c r="AE33" s="1">
        <f t="shared" si="0"/>
        <v>483287353</v>
      </c>
      <c r="AF33" s="5">
        <v>41543</v>
      </c>
    </row>
    <row r="34" spans="1:32" x14ac:dyDescent="0.3">
      <c r="A34" s="4">
        <v>173650</v>
      </c>
      <c r="B34" s="4" t="s">
        <v>0</v>
      </c>
      <c r="C34" s="5">
        <v>42755</v>
      </c>
      <c r="D34" s="4" t="s">
        <v>89</v>
      </c>
      <c r="E34" s="4">
        <v>2968</v>
      </c>
      <c r="F34" s="4" t="s">
        <v>65</v>
      </c>
      <c r="G34" s="4" t="s">
        <v>155</v>
      </c>
      <c r="H34" s="12" t="s">
        <v>236</v>
      </c>
      <c r="I34" s="8">
        <v>29484</v>
      </c>
      <c r="J34" s="4">
        <v>41</v>
      </c>
      <c r="K34" s="9" t="s">
        <v>4</v>
      </c>
      <c r="L34" s="4">
        <v>0</v>
      </c>
      <c r="M34" s="9" t="s">
        <v>5</v>
      </c>
      <c r="N34" s="4"/>
      <c r="O34" s="4"/>
      <c r="P34" s="9" t="s">
        <v>6</v>
      </c>
      <c r="Q34" s="4" t="s">
        <v>51</v>
      </c>
      <c r="R34" s="4"/>
      <c r="S34" s="9" t="s">
        <v>4</v>
      </c>
      <c r="T34" s="4">
        <v>1</v>
      </c>
      <c r="U34" s="4" t="s">
        <v>8</v>
      </c>
      <c r="V34" s="4" t="s">
        <v>297</v>
      </c>
      <c r="W34" s="4" t="s">
        <v>298</v>
      </c>
      <c r="X34" s="4" t="s">
        <v>270</v>
      </c>
      <c r="Y34" s="4" t="s">
        <v>318</v>
      </c>
      <c r="Z34" s="4" t="s">
        <v>156</v>
      </c>
      <c r="AA34" s="4">
        <v>2064471575</v>
      </c>
      <c r="AB34" s="12" t="s">
        <v>235</v>
      </c>
      <c r="AC34" s="10">
        <v>1838232149</v>
      </c>
      <c r="AD34" s="10">
        <v>1713607</v>
      </c>
      <c r="AE34" s="1">
        <f t="shared" si="0"/>
        <v>1963267210</v>
      </c>
      <c r="AF34" s="5">
        <v>42755</v>
      </c>
    </row>
    <row r="35" spans="1:32" x14ac:dyDescent="0.3">
      <c r="A35" s="4">
        <v>173651</v>
      </c>
      <c r="B35" s="4" t="s">
        <v>74</v>
      </c>
      <c r="C35" s="5">
        <v>41229</v>
      </c>
      <c r="D35" s="4" t="s">
        <v>157</v>
      </c>
      <c r="E35" s="4">
        <v>8943</v>
      </c>
      <c r="F35" s="4" t="s">
        <v>158</v>
      </c>
      <c r="G35" s="4" t="s">
        <v>159</v>
      </c>
      <c r="H35" s="12" t="s">
        <v>236</v>
      </c>
      <c r="I35" s="8">
        <v>29485</v>
      </c>
      <c r="J35" s="4">
        <v>41</v>
      </c>
      <c r="K35" s="9" t="s">
        <v>4</v>
      </c>
      <c r="L35" s="4">
        <v>0</v>
      </c>
      <c r="M35" s="9" t="s">
        <v>5</v>
      </c>
      <c r="N35" s="4"/>
      <c r="O35" s="4"/>
      <c r="P35" s="9" t="s">
        <v>6</v>
      </c>
      <c r="Q35" s="4" t="s">
        <v>51</v>
      </c>
      <c r="R35" s="4"/>
      <c r="S35" s="9" t="s">
        <v>4</v>
      </c>
      <c r="T35" s="4">
        <v>1</v>
      </c>
      <c r="U35" s="4" t="s">
        <v>8</v>
      </c>
      <c r="V35" s="4" t="s">
        <v>293</v>
      </c>
      <c r="W35" s="4" t="s">
        <v>294</v>
      </c>
      <c r="X35" s="4" t="s">
        <v>271</v>
      </c>
      <c r="Y35" s="4" t="s">
        <v>319</v>
      </c>
      <c r="Z35" s="4" t="s">
        <v>160</v>
      </c>
      <c r="AA35" s="4">
        <v>2064471575</v>
      </c>
      <c r="AB35" s="12" t="s">
        <v>237</v>
      </c>
      <c r="AC35" s="10">
        <v>1872215880</v>
      </c>
      <c r="AD35" s="10">
        <v>827576</v>
      </c>
      <c r="AE35" s="1">
        <f t="shared" si="0"/>
        <v>1996364910</v>
      </c>
      <c r="AF35" s="5">
        <v>41229</v>
      </c>
    </row>
    <row r="36" spans="1:32" x14ac:dyDescent="0.3">
      <c r="A36" s="4">
        <v>175034</v>
      </c>
      <c r="B36" s="4" t="s">
        <v>0</v>
      </c>
      <c r="C36" s="5">
        <v>38533</v>
      </c>
      <c r="D36" s="4" t="s">
        <v>161</v>
      </c>
      <c r="E36" s="4">
        <v>5737</v>
      </c>
      <c r="F36" s="4" t="s">
        <v>162</v>
      </c>
      <c r="G36" s="4" t="s">
        <v>163</v>
      </c>
      <c r="H36" s="12" t="s">
        <v>236</v>
      </c>
      <c r="I36" s="8">
        <v>29486</v>
      </c>
      <c r="J36" s="4">
        <v>41</v>
      </c>
      <c r="K36" s="9" t="s">
        <v>4</v>
      </c>
      <c r="L36" s="4">
        <v>0</v>
      </c>
      <c r="M36" s="9" t="s">
        <v>5</v>
      </c>
      <c r="N36" s="4"/>
      <c r="O36" s="4"/>
      <c r="P36" s="9" t="s">
        <v>6</v>
      </c>
      <c r="Q36" s="4" t="s">
        <v>25</v>
      </c>
      <c r="R36" s="4"/>
      <c r="S36" s="9" t="s">
        <v>4</v>
      </c>
      <c r="T36" s="4">
        <v>2</v>
      </c>
      <c r="U36" s="4" t="s">
        <v>8</v>
      </c>
      <c r="V36" s="4" t="s">
        <v>299</v>
      </c>
      <c r="W36" s="4" t="s">
        <v>300</v>
      </c>
      <c r="X36" s="4" t="s">
        <v>272</v>
      </c>
      <c r="Y36" s="4" t="s">
        <v>320</v>
      </c>
      <c r="Z36" s="4" t="s">
        <v>164</v>
      </c>
      <c r="AA36" s="4" t="s">
        <v>165</v>
      </c>
      <c r="AB36" s="12" t="s">
        <v>237</v>
      </c>
      <c r="AC36" s="10">
        <v>779710854</v>
      </c>
      <c r="AD36" s="10">
        <v>868171</v>
      </c>
      <c r="AE36" s="1">
        <f t="shared" si="0"/>
        <v>903900479</v>
      </c>
      <c r="AF36" s="5">
        <v>38533</v>
      </c>
    </row>
    <row r="37" spans="1:32" x14ac:dyDescent="0.3">
      <c r="A37" s="4">
        <v>175035</v>
      </c>
      <c r="B37" s="4" t="s">
        <v>0</v>
      </c>
      <c r="C37" s="5">
        <v>41915</v>
      </c>
      <c r="D37" s="4" t="s">
        <v>166</v>
      </c>
      <c r="E37" s="4">
        <v>5738</v>
      </c>
      <c r="F37" s="4" t="s">
        <v>167</v>
      </c>
      <c r="G37" s="4" t="s">
        <v>168</v>
      </c>
      <c r="H37" s="12" t="s">
        <v>236</v>
      </c>
      <c r="I37" s="8">
        <v>29487</v>
      </c>
      <c r="J37" s="4">
        <v>41</v>
      </c>
      <c r="K37" s="9" t="s">
        <v>4</v>
      </c>
      <c r="L37" s="4">
        <v>0</v>
      </c>
      <c r="M37" s="9" t="s">
        <v>5</v>
      </c>
      <c r="N37" s="4"/>
      <c r="O37" s="4"/>
      <c r="P37" s="9" t="s">
        <v>6</v>
      </c>
      <c r="Q37" s="4" t="s">
        <v>25</v>
      </c>
      <c r="R37" s="4"/>
      <c r="S37" s="9" t="s">
        <v>4</v>
      </c>
      <c r="T37" s="4">
        <v>1</v>
      </c>
      <c r="U37" s="4" t="s">
        <v>8</v>
      </c>
      <c r="V37" s="4" t="s">
        <v>299</v>
      </c>
      <c r="W37" s="4" t="s">
        <v>300</v>
      </c>
      <c r="X37" s="4" t="s">
        <v>273</v>
      </c>
      <c r="Y37" s="4" t="s">
        <v>321</v>
      </c>
      <c r="Z37" s="4" t="s">
        <v>169</v>
      </c>
      <c r="AA37" s="4">
        <v>4706895553</v>
      </c>
      <c r="AB37" s="12" t="s">
        <v>237</v>
      </c>
      <c r="AC37" s="10">
        <v>1950050704</v>
      </c>
      <c r="AD37" s="10">
        <v>1839211</v>
      </c>
      <c r="AE37" s="1">
        <f t="shared" si="0"/>
        <v>2075211369</v>
      </c>
      <c r="AF37" s="5">
        <v>41915</v>
      </c>
    </row>
    <row r="38" spans="1:32" x14ac:dyDescent="0.3">
      <c r="A38" s="4">
        <v>175036</v>
      </c>
      <c r="B38" s="4" t="s">
        <v>0</v>
      </c>
      <c r="C38" s="5">
        <v>42636</v>
      </c>
      <c r="D38" s="4" t="s">
        <v>170</v>
      </c>
      <c r="E38" s="4">
        <v>1256</v>
      </c>
      <c r="F38" s="4" t="s">
        <v>60</v>
      </c>
      <c r="G38" s="4" t="s">
        <v>171</v>
      </c>
      <c r="H38" s="12" t="s">
        <v>236</v>
      </c>
      <c r="I38" s="8">
        <v>29488</v>
      </c>
      <c r="J38" s="4">
        <v>41</v>
      </c>
      <c r="K38" s="9" t="s">
        <v>4</v>
      </c>
      <c r="L38" s="4">
        <v>0</v>
      </c>
      <c r="M38" s="9" t="s">
        <v>5</v>
      </c>
      <c r="N38" s="4"/>
      <c r="O38" s="4"/>
      <c r="P38" s="9" t="s">
        <v>6</v>
      </c>
      <c r="Q38" s="4" t="s">
        <v>25</v>
      </c>
      <c r="R38" s="4"/>
      <c r="S38" s="9" t="s">
        <v>4</v>
      </c>
      <c r="T38" s="4">
        <v>1</v>
      </c>
      <c r="U38" s="4" t="s">
        <v>8</v>
      </c>
      <c r="V38" s="4" t="s">
        <v>306</v>
      </c>
      <c r="W38" s="4" t="s">
        <v>307</v>
      </c>
      <c r="X38" s="4" t="s">
        <v>322</v>
      </c>
      <c r="Y38" s="4" t="s">
        <v>329</v>
      </c>
      <c r="Z38" s="4" t="s">
        <v>172</v>
      </c>
      <c r="AA38" s="4">
        <v>4706895428</v>
      </c>
      <c r="AB38" s="12" t="s">
        <v>235</v>
      </c>
      <c r="AC38" s="10">
        <v>33111129</v>
      </c>
      <c r="AD38" s="10">
        <v>1654479</v>
      </c>
      <c r="AE38" s="1">
        <f t="shared" si="0"/>
        <v>158087062</v>
      </c>
      <c r="AF38" s="5">
        <v>42636</v>
      </c>
    </row>
    <row r="39" spans="1:32" x14ac:dyDescent="0.3">
      <c r="A39" s="4">
        <v>175037</v>
      </c>
      <c r="B39" s="4" t="s">
        <v>0</v>
      </c>
      <c r="C39" s="5">
        <v>36910</v>
      </c>
      <c r="D39" s="4" t="s">
        <v>173</v>
      </c>
      <c r="E39" s="4">
        <v>8054</v>
      </c>
      <c r="F39" s="4" t="s">
        <v>174</v>
      </c>
      <c r="G39" s="4" t="s">
        <v>175</v>
      </c>
      <c r="H39" s="12" t="s">
        <v>236</v>
      </c>
      <c r="I39" s="8">
        <v>29489</v>
      </c>
      <c r="J39" s="4">
        <v>41</v>
      </c>
      <c r="K39" s="9" t="s">
        <v>4</v>
      </c>
      <c r="L39" s="4">
        <v>0</v>
      </c>
      <c r="M39" s="9" t="s">
        <v>5</v>
      </c>
      <c r="N39" s="4"/>
      <c r="O39" s="4"/>
      <c r="P39" s="9" t="s">
        <v>6</v>
      </c>
      <c r="Q39" s="4" t="s">
        <v>25</v>
      </c>
      <c r="R39" s="4"/>
      <c r="S39" s="9" t="s">
        <v>4</v>
      </c>
      <c r="T39" s="4">
        <v>3</v>
      </c>
      <c r="U39" s="4" t="s">
        <v>8</v>
      </c>
      <c r="V39" s="4" t="s">
        <v>303</v>
      </c>
      <c r="W39" s="4" t="s">
        <v>275</v>
      </c>
      <c r="X39" s="4" t="s">
        <v>275</v>
      </c>
      <c r="Y39" s="4" t="s">
        <v>246</v>
      </c>
      <c r="Z39" s="4" t="s">
        <v>176</v>
      </c>
      <c r="AA39" s="4" t="s">
        <v>177</v>
      </c>
      <c r="AB39" s="12" t="s">
        <v>235</v>
      </c>
      <c r="AC39" s="10">
        <v>1775109469</v>
      </c>
      <c r="AD39" s="10">
        <v>1248507</v>
      </c>
      <c r="AE39" s="1">
        <f t="shared" si="0"/>
        <v>1899679430</v>
      </c>
      <c r="AF39" s="5">
        <v>36910</v>
      </c>
    </row>
    <row r="40" spans="1:32" x14ac:dyDescent="0.3">
      <c r="A40" s="4">
        <v>175038</v>
      </c>
      <c r="B40" s="4" t="s">
        <v>0</v>
      </c>
      <c r="C40" s="5">
        <v>43520</v>
      </c>
      <c r="D40" s="4" t="s">
        <v>178</v>
      </c>
      <c r="E40" s="4">
        <v>7073</v>
      </c>
      <c r="F40" s="4" t="s">
        <v>12</v>
      </c>
      <c r="G40" s="4" t="s">
        <v>179</v>
      </c>
      <c r="H40" s="12" t="s">
        <v>236</v>
      </c>
      <c r="I40" s="8">
        <v>29490</v>
      </c>
      <c r="J40" s="4">
        <v>41</v>
      </c>
      <c r="K40" s="9" t="s">
        <v>4</v>
      </c>
      <c r="L40" s="4">
        <v>0</v>
      </c>
      <c r="M40" s="9" t="s">
        <v>5</v>
      </c>
      <c r="N40" s="4"/>
      <c r="O40" s="4"/>
      <c r="P40" s="9" t="s">
        <v>6</v>
      </c>
      <c r="Q40" s="4" t="s">
        <v>25</v>
      </c>
      <c r="R40" s="4"/>
      <c r="S40" s="9" t="s">
        <v>4</v>
      </c>
      <c r="T40" s="4">
        <v>2</v>
      </c>
      <c r="U40" s="4" t="s">
        <v>8</v>
      </c>
      <c r="V40" s="4" t="s">
        <v>293</v>
      </c>
      <c r="W40" s="4" t="s">
        <v>307</v>
      </c>
      <c r="X40" s="4" t="s">
        <v>330</v>
      </c>
      <c r="Y40" s="4" t="s">
        <v>335</v>
      </c>
      <c r="Z40" s="4" t="s">
        <v>180</v>
      </c>
      <c r="AA40" s="4" t="s">
        <v>181</v>
      </c>
      <c r="AB40" s="12" t="s">
        <v>237</v>
      </c>
      <c r="AC40" s="10">
        <v>790802511</v>
      </c>
      <c r="AD40" s="10">
        <v>1042075</v>
      </c>
      <c r="AE40" s="1">
        <f t="shared" si="0"/>
        <v>915166040</v>
      </c>
      <c r="AF40" s="5">
        <v>43520</v>
      </c>
    </row>
    <row r="41" spans="1:32" x14ac:dyDescent="0.3">
      <c r="A41" s="4">
        <v>175048</v>
      </c>
      <c r="B41" s="4" t="s">
        <v>0</v>
      </c>
      <c r="C41" s="5">
        <v>41872</v>
      </c>
      <c r="D41" s="4" t="s">
        <v>182</v>
      </c>
      <c r="E41" s="4">
        <v>3764</v>
      </c>
      <c r="F41" s="4" t="s">
        <v>183</v>
      </c>
      <c r="G41" s="4" t="s">
        <v>184</v>
      </c>
      <c r="H41" s="12" t="s">
        <v>236</v>
      </c>
      <c r="I41" s="8">
        <v>28377</v>
      </c>
      <c r="J41" s="4">
        <v>44</v>
      </c>
      <c r="K41" s="9" t="s">
        <v>4</v>
      </c>
      <c r="L41" s="4">
        <v>0</v>
      </c>
      <c r="M41" s="9" t="s">
        <v>5</v>
      </c>
      <c r="N41" s="4"/>
      <c r="O41" s="4"/>
      <c r="P41" s="9" t="s">
        <v>6</v>
      </c>
      <c r="Q41" s="4" t="s">
        <v>185</v>
      </c>
      <c r="R41" s="4"/>
      <c r="S41" s="9" t="s">
        <v>4</v>
      </c>
      <c r="T41" s="4">
        <v>3</v>
      </c>
      <c r="U41" s="4" t="s">
        <v>8</v>
      </c>
      <c r="V41" s="4" t="s">
        <v>304</v>
      </c>
      <c r="W41" s="4" t="s">
        <v>305</v>
      </c>
      <c r="X41" s="4" t="s">
        <v>277</v>
      </c>
      <c r="Y41" s="4" t="s">
        <v>336</v>
      </c>
      <c r="Z41" s="4" t="s">
        <v>186</v>
      </c>
      <c r="AA41" s="4">
        <v>6154404828</v>
      </c>
      <c r="AB41" s="12" t="s">
        <v>237</v>
      </c>
      <c r="AC41" s="10">
        <v>963009521</v>
      </c>
      <c r="AD41" s="10">
        <v>1817502</v>
      </c>
      <c r="AE41" s="1">
        <f t="shared" si="0"/>
        <v>1088148477</v>
      </c>
      <c r="AF41" s="5">
        <v>41872</v>
      </c>
    </row>
    <row r="42" spans="1:32" x14ac:dyDescent="0.3">
      <c r="A42" s="4">
        <v>180264</v>
      </c>
      <c r="B42" s="4" t="s">
        <v>0</v>
      </c>
      <c r="C42" s="5">
        <v>42419</v>
      </c>
      <c r="D42" s="4" t="s">
        <v>187</v>
      </c>
      <c r="E42" s="4">
        <v>7860</v>
      </c>
      <c r="F42" s="4" t="s">
        <v>188</v>
      </c>
      <c r="G42" s="4" t="s">
        <v>189</v>
      </c>
      <c r="H42" s="12" t="s">
        <v>236</v>
      </c>
      <c r="I42" s="8">
        <v>28378</v>
      </c>
      <c r="J42" s="4">
        <v>44</v>
      </c>
      <c r="K42" s="9" t="s">
        <v>4</v>
      </c>
      <c r="L42" s="4">
        <v>0</v>
      </c>
      <c r="M42" s="9" t="s">
        <v>5</v>
      </c>
      <c r="N42" s="4"/>
      <c r="O42" s="4"/>
      <c r="P42" s="9" t="s">
        <v>6</v>
      </c>
      <c r="Q42" s="4" t="s">
        <v>190</v>
      </c>
      <c r="R42" s="4"/>
      <c r="S42" s="9" t="s">
        <v>4</v>
      </c>
      <c r="T42" s="4">
        <v>1</v>
      </c>
      <c r="U42" s="4" t="s">
        <v>8</v>
      </c>
      <c r="V42" s="4" t="s">
        <v>304</v>
      </c>
      <c r="W42" s="4" t="s">
        <v>307</v>
      </c>
      <c r="X42" s="4" t="s">
        <v>330</v>
      </c>
      <c r="Y42" s="4" t="s">
        <v>334</v>
      </c>
      <c r="Z42" s="4" t="s">
        <v>191</v>
      </c>
      <c r="AA42" s="4">
        <v>3104067298</v>
      </c>
      <c r="AB42" s="12" t="s">
        <v>237</v>
      </c>
      <c r="AC42" s="10">
        <v>1390813954</v>
      </c>
      <c r="AD42" s="10">
        <v>1501253</v>
      </c>
      <c r="AE42" s="1">
        <f t="shared" si="0"/>
        <v>1515636661</v>
      </c>
      <c r="AF42" s="5">
        <v>42419</v>
      </c>
    </row>
    <row r="43" spans="1:32" x14ac:dyDescent="0.3">
      <c r="A43" s="4">
        <v>180280</v>
      </c>
      <c r="B43" s="4" t="s">
        <v>0</v>
      </c>
      <c r="C43" s="5">
        <v>42604</v>
      </c>
      <c r="D43" s="4" t="s">
        <v>192</v>
      </c>
      <c r="E43" s="4">
        <v>7861</v>
      </c>
      <c r="F43" s="4" t="s">
        <v>193</v>
      </c>
      <c r="G43" s="4" t="s">
        <v>194</v>
      </c>
      <c r="H43" s="12" t="s">
        <v>236</v>
      </c>
      <c r="I43" s="8">
        <v>28379</v>
      </c>
      <c r="J43" s="4">
        <v>44</v>
      </c>
      <c r="K43" s="9" t="s">
        <v>4</v>
      </c>
      <c r="L43" s="4">
        <v>0</v>
      </c>
      <c r="M43" s="9" t="s">
        <v>5</v>
      </c>
      <c r="N43" s="4"/>
      <c r="O43" s="4"/>
      <c r="P43" s="9" t="s">
        <v>6</v>
      </c>
      <c r="Q43" s="4" t="s">
        <v>195</v>
      </c>
      <c r="R43" s="4"/>
      <c r="S43" s="9" t="s">
        <v>4</v>
      </c>
      <c r="T43" s="4">
        <v>1</v>
      </c>
      <c r="U43" s="4" t="s">
        <v>8</v>
      </c>
      <c r="V43" s="4" t="s">
        <v>297</v>
      </c>
      <c r="W43" s="4" t="s">
        <v>298</v>
      </c>
      <c r="X43" s="4" t="s">
        <v>278</v>
      </c>
      <c r="Y43" s="4" t="s">
        <v>250</v>
      </c>
      <c r="Z43" s="4" t="s">
        <v>196</v>
      </c>
      <c r="AA43" s="4" t="s">
        <v>197</v>
      </c>
      <c r="AB43" s="12" t="s">
        <v>235</v>
      </c>
      <c r="AC43" s="10">
        <v>1724607527</v>
      </c>
      <c r="AD43" s="10">
        <v>1187595</v>
      </c>
      <c r="AE43" s="1">
        <f t="shared" si="0"/>
        <v>1849116576</v>
      </c>
      <c r="AF43" s="5">
        <v>42604</v>
      </c>
    </row>
    <row r="44" spans="1:32" x14ac:dyDescent="0.3">
      <c r="A44" s="4">
        <v>228870</v>
      </c>
      <c r="B44" s="4" t="s">
        <v>0</v>
      </c>
      <c r="C44" s="5">
        <v>39521</v>
      </c>
      <c r="D44" s="4" t="s">
        <v>198</v>
      </c>
      <c r="E44" s="4">
        <v>7862</v>
      </c>
      <c r="F44" s="4" t="s">
        <v>199</v>
      </c>
      <c r="G44" s="4" t="s">
        <v>200</v>
      </c>
      <c r="H44" s="12" t="s">
        <v>236</v>
      </c>
      <c r="I44" s="8">
        <v>28380</v>
      </c>
      <c r="J44" s="4">
        <v>44</v>
      </c>
      <c r="K44" s="9" t="s">
        <v>4</v>
      </c>
      <c r="L44" s="4">
        <v>0</v>
      </c>
      <c r="M44" s="9" t="s">
        <v>5</v>
      </c>
      <c r="N44" s="4"/>
      <c r="O44" s="4"/>
      <c r="P44" s="9" t="s">
        <v>6</v>
      </c>
      <c r="Q44" s="4" t="s">
        <v>201</v>
      </c>
      <c r="R44" s="4"/>
      <c r="S44" s="9" t="s">
        <v>4</v>
      </c>
      <c r="T44" s="4">
        <v>34</v>
      </c>
      <c r="U44" s="4" t="s">
        <v>8</v>
      </c>
      <c r="V44" s="4" t="s">
        <v>299</v>
      </c>
      <c r="W44" s="4" t="s">
        <v>300</v>
      </c>
      <c r="X44" s="4" t="s">
        <v>273</v>
      </c>
      <c r="Y44" s="4" t="s">
        <v>251</v>
      </c>
      <c r="Z44" s="4" t="s">
        <v>202</v>
      </c>
      <c r="AA44" s="4">
        <v>2063186992</v>
      </c>
      <c r="AB44" s="12" t="s">
        <v>235</v>
      </c>
      <c r="AC44" s="10">
        <v>491809737</v>
      </c>
      <c r="AD44" s="10">
        <v>1847916</v>
      </c>
      <c r="AE44" s="1">
        <f t="shared" si="0"/>
        <v>616979107</v>
      </c>
      <c r="AF44" s="5">
        <v>39521</v>
      </c>
    </row>
    <row r="45" spans="1:32" x14ac:dyDescent="0.3">
      <c r="A45" s="4">
        <v>240439</v>
      </c>
      <c r="B45" s="4" t="s">
        <v>0</v>
      </c>
      <c r="C45" s="5">
        <v>38859</v>
      </c>
      <c r="D45" s="4" t="s">
        <v>203</v>
      </c>
      <c r="E45" s="4">
        <v>5672</v>
      </c>
      <c r="F45" s="4" t="s">
        <v>204</v>
      </c>
      <c r="G45" s="4" t="s">
        <v>205</v>
      </c>
      <c r="H45" s="12" t="s">
        <v>236</v>
      </c>
      <c r="I45" s="8">
        <v>28381</v>
      </c>
      <c r="J45" s="4">
        <v>44</v>
      </c>
      <c r="K45" s="9" t="s">
        <v>4</v>
      </c>
      <c r="L45" s="4">
        <v>0</v>
      </c>
      <c r="M45" s="9" t="s">
        <v>5</v>
      </c>
      <c r="N45" s="4"/>
      <c r="O45" s="4"/>
      <c r="P45" s="9" t="s">
        <v>6</v>
      </c>
      <c r="Q45" s="4" t="s">
        <v>206</v>
      </c>
      <c r="R45" s="4"/>
      <c r="S45" s="9" t="s">
        <v>4</v>
      </c>
      <c r="T45" s="4">
        <v>3</v>
      </c>
      <c r="U45" s="4" t="s">
        <v>8</v>
      </c>
      <c r="V45" s="4" t="s">
        <v>306</v>
      </c>
      <c r="W45" s="4" t="s">
        <v>307</v>
      </c>
      <c r="X45" s="4" t="s">
        <v>279</v>
      </c>
      <c r="Y45" s="4" t="s">
        <v>316</v>
      </c>
      <c r="Z45" s="4" t="s">
        <v>207</v>
      </c>
      <c r="AA45" s="4">
        <v>6175326100</v>
      </c>
      <c r="AB45" s="12" t="s">
        <v>235</v>
      </c>
      <c r="AC45" s="10">
        <v>1653836490</v>
      </c>
      <c r="AD45" s="10">
        <v>1931884</v>
      </c>
      <c r="AE45" s="1">
        <f t="shared" si="0"/>
        <v>1779089828</v>
      </c>
      <c r="AF45" s="5">
        <v>38859</v>
      </c>
    </row>
    <row r="46" spans="1:32" x14ac:dyDescent="0.3">
      <c r="A46" s="4">
        <v>240440</v>
      </c>
      <c r="B46" s="4" t="s">
        <v>0</v>
      </c>
      <c r="C46" s="5">
        <v>38834</v>
      </c>
      <c r="D46" s="4" t="s">
        <v>203</v>
      </c>
      <c r="E46" s="4">
        <v>6274</v>
      </c>
      <c r="F46" s="4" t="s">
        <v>208</v>
      </c>
      <c r="G46" s="4" t="s">
        <v>209</v>
      </c>
      <c r="H46" s="12" t="s">
        <v>236</v>
      </c>
      <c r="I46" s="8">
        <v>28382</v>
      </c>
      <c r="J46" s="4">
        <v>44</v>
      </c>
      <c r="K46" s="9" t="s">
        <v>4</v>
      </c>
      <c r="L46" s="4">
        <v>0</v>
      </c>
      <c r="M46" s="9" t="s">
        <v>5</v>
      </c>
      <c r="N46" s="4"/>
      <c r="O46" s="4"/>
      <c r="P46" s="9" t="s">
        <v>6</v>
      </c>
      <c r="Q46" s="4" t="s">
        <v>206</v>
      </c>
      <c r="R46" s="4"/>
      <c r="S46" s="9" t="s">
        <v>4</v>
      </c>
      <c r="T46" s="4">
        <v>1</v>
      </c>
      <c r="U46" s="4" t="s">
        <v>8</v>
      </c>
      <c r="V46" s="4" t="s">
        <v>306</v>
      </c>
      <c r="W46" s="4" t="s">
        <v>307</v>
      </c>
      <c r="X46" s="4" t="s">
        <v>325</v>
      </c>
      <c r="Y46" s="4" t="s">
        <v>323</v>
      </c>
      <c r="Z46" s="4" t="s">
        <v>210</v>
      </c>
      <c r="AA46" s="4">
        <v>6175326100</v>
      </c>
      <c r="AB46" s="12" t="s">
        <v>235</v>
      </c>
      <c r="AC46" s="10">
        <v>1784824741</v>
      </c>
      <c r="AD46" s="10">
        <v>1398796</v>
      </c>
      <c r="AE46" s="1">
        <f t="shared" si="0"/>
        <v>1909544991</v>
      </c>
      <c r="AF46" s="5">
        <v>38834</v>
      </c>
    </row>
    <row r="47" spans="1:32" x14ac:dyDescent="0.3">
      <c r="A47" s="4">
        <v>240471</v>
      </c>
      <c r="B47" s="4" t="s">
        <v>0</v>
      </c>
      <c r="C47" s="5">
        <v>38330</v>
      </c>
      <c r="D47" s="4" t="s">
        <v>211</v>
      </c>
      <c r="E47" s="4">
        <v>4884</v>
      </c>
      <c r="F47" s="4" t="s">
        <v>212</v>
      </c>
      <c r="G47" s="4" t="s">
        <v>213</v>
      </c>
      <c r="H47" s="12" t="s">
        <v>236</v>
      </c>
      <c r="I47" s="8">
        <v>28383</v>
      </c>
      <c r="J47" s="4">
        <v>44</v>
      </c>
      <c r="K47" s="9" t="s">
        <v>4</v>
      </c>
      <c r="L47" s="4">
        <v>0</v>
      </c>
      <c r="M47" s="9" t="s">
        <v>5</v>
      </c>
      <c r="N47" s="4"/>
      <c r="O47" s="4"/>
      <c r="P47" s="9" t="s">
        <v>6</v>
      </c>
      <c r="Q47" s="4" t="s">
        <v>206</v>
      </c>
      <c r="R47" s="4"/>
      <c r="S47" s="9" t="s">
        <v>4</v>
      </c>
      <c r="T47" s="4">
        <v>1</v>
      </c>
      <c r="U47" s="4" t="s">
        <v>8</v>
      </c>
      <c r="V47" s="4" t="s">
        <v>306</v>
      </c>
      <c r="W47" s="4" t="s">
        <v>307</v>
      </c>
      <c r="X47" s="4" t="s">
        <v>325</v>
      </c>
      <c r="Y47" s="4" t="s">
        <v>324</v>
      </c>
      <c r="Z47" s="4" t="s">
        <v>214</v>
      </c>
      <c r="AA47" s="4" t="s">
        <v>215</v>
      </c>
      <c r="AB47" s="12" t="s">
        <v>237</v>
      </c>
      <c r="AC47" s="10">
        <v>849265837</v>
      </c>
      <c r="AD47" s="10">
        <v>575093</v>
      </c>
      <c r="AE47" s="1">
        <f t="shared" si="0"/>
        <v>973162384</v>
      </c>
      <c r="AF47" s="5">
        <v>38330</v>
      </c>
    </row>
    <row r="48" spans="1:32" x14ac:dyDescent="0.3">
      <c r="A48" s="4">
        <v>241525</v>
      </c>
      <c r="B48" s="4" t="s">
        <v>0</v>
      </c>
      <c r="C48" s="5">
        <v>40366</v>
      </c>
      <c r="D48" s="4" t="s">
        <v>216</v>
      </c>
      <c r="E48" s="4">
        <v>8442</v>
      </c>
      <c r="F48" s="4" t="s">
        <v>217</v>
      </c>
      <c r="G48" s="4" t="s">
        <v>218</v>
      </c>
      <c r="H48" s="12" t="s">
        <v>236</v>
      </c>
      <c r="I48" s="8">
        <v>28384</v>
      </c>
      <c r="J48" s="4">
        <v>44</v>
      </c>
      <c r="K48" s="9" t="s">
        <v>4</v>
      </c>
      <c r="L48" s="4">
        <v>0</v>
      </c>
      <c r="M48" s="9" t="s">
        <v>5</v>
      </c>
      <c r="N48" s="4"/>
      <c r="O48" s="4"/>
      <c r="P48" s="9" t="s">
        <v>6</v>
      </c>
      <c r="Q48" s="4" t="s">
        <v>206</v>
      </c>
      <c r="R48" s="4"/>
      <c r="S48" s="9" t="s">
        <v>4</v>
      </c>
      <c r="T48" s="4">
        <v>3</v>
      </c>
      <c r="U48" s="4" t="s">
        <v>8</v>
      </c>
      <c r="V48" s="4" t="s">
        <v>306</v>
      </c>
      <c r="W48" s="4" t="s">
        <v>307</v>
      </c>
      <c r="X48" s="4" t="s">
        <v>322</v>
      </c>
      <c r="Y48" s="4" t="s">
        <v>326</v>
      </c>
      <c r="Z48" s="4" t="s">
        <v>219</v>
      </c>
      <c r="AA48" s="4">
        <v>8662638325</v>
      </c>
      <c r="AB48" s="12" t="s">
        <v>237</v>
      </c>
      <c r="AC48" s="10">
        <v>1732103825</v>
      </c>
      <c r="AD48" s="10">
        <v>777192</v>
      </c>
      <c r="AE48" s="1">
        <f t="shared" si="0"/>
        <v>1856202471</v>
      </c>
      <c r="AF48" s="5">
        <v>40366</v>
      </c>
    </row>
    <row r="49" spans="1:32" x14ac:dyDescent="0.3">
      <c r="A49" s="4">
        <v>242849</v>
      </c>
      <c r="B49" s="4" t="s">
        <v>0</v>
      </c>
      <c r="C49" s="5">
        <v>38970</v>
      </c>
      <c r="D49" s="4" t="s">
        <v>220</v>
      </c>
      <c r="E49" s="4">
        <v>1738</v>
      </c>
      <c r="F49" s="4" t="s">
        <v>221</v>
      </c>
      <c r="G49" s="4" t="s">
        <v>222</v>
      </c>
      <c r="H49" s="12" t="s">
        <v>236</v>
      </c>
      <c r="I49" s="8">
        <v>28385</v>
      </c>
      <c r="J49" s="4">
        <v>44</v>
      </c>
      <c r="K49" s="9" t="s">
        <v>4</v>
      </c>
      <c r="L49" s="4">
        <v>0</v>
      </c>
      <c r="M49" s="9" t="s">
        <v>5</v>
      </c>
      <c r="N49" s="4"/>
      <c r="O49" s="4"/>
      <c r="P49" s="9" t="s">
        <v>6</v>
      </c>
      <c r="Q49" s="4" t="s">
        <v>206</v>
      </c>
      <c r="R49" s="4"/>
      <c r="S49" s="9" t="s">
        <v>4</v>
      </c>
      <c r="T49" s="4">
        <v>1</v>
      </c>
      <c r="U49" s="4" t="s">
        <v>8</v>
      </c>
      <c r="V49" s="4" t="s">
        <v>306</v>
      </c>
      <c r="W49" s="4" t="s">
        <v>307</v>
      </c>
      <c r="X49" s="4" t="s">
        <v>327</v>
      </c>
      <c r="Y49" s="4" t="s">
        <v>328</v>
      </c>
      <c r="Z49" s="4" t="s">
        <v>223</v>
      </c>
      <c r="AA49" s="4">
        <v>6175326100</v>
      </c>
      <c r="AB49" s="12" t="s">
        <v>237</v>
      </c>
      <c r="AC49" s="10">
        <v>25017837</v>
      </c>
      <c r="AD49" s="10">
        <v>272158</v>
      </c>
      <c r="AE49" s="1">
        <f t="shared" si="0"/>
        <v>148611449</v>
      </c>
      <c r="AF49" s="5">
        <v>38970</v>
      </c>
    </row>
    <row r="50" spans="1:32" x14ac:dyDescent="0.3">
      <c r="A50" s="4">
        <v>242854</v>
      </c>
      <c r="B50" s="4" t="s">
        <v>0</v>
      </c>
      <c r="C50" s="5">
        <v>40315</v>
      </c>
      <c r="D50" s="4" t="s">
        <v>220</v>
      </c>
      <c r="E50" s="4">
        <v>1588</v>
      </c>
      <c r="F50" s="4" t="s">
        <v>224</v>
      </c>
      <c r="G50" s="4" t="s">
        <v>225</v>
      </c>
      <c r="H50" s="12" t="s">
        <v>236</v>
      </c>
      <c r="I50" s="8">
        <v>28386</v>
      </c>
      <c r="J50" s="4">
        <v>44</v>
      </c>
      <c r="K50" s="9" t="s">
        <v>4</v>
      </c>
      <c r="L50" s="4">
        <v>0</v>
      </c>
      <c r="M50" s="9" t="s">
        <v>5</v>
      </c>
      <c r="N50" s="4"/>
      <c r="O50" s="4"/>
      <c r="P50" s="9" t="s">
        <v>6</v>
      </c>
      <c r="Q50" s="4" t="s">
        <v>206</v>
      </c>
      <c r="R50" s="4"/>
      <c r="S50" s="9" t="s">
        <v>4</v>
      </c>
      <c r="T50" s="4">
        <v>3</v>
      </c>
      <c r="U50" s="4" t="s">
        <v>8</v>
      </c>
      <c r="V50" s="4" t="s">
        <v>306</v>
      </c>
      <c r="W50" s="4" t="s">
        <v>307</v>
      </c>
      <c r="X50" s="4" t="s">
        <v>330</v>
      </c>
      <c r="Y50" s="4" t="s">
        <v>333</v>
      </c>
      <c r="Z50" s="4" t="s">
        <v>226</v>
      </c>
      <c r="AA50" s="4">
        <v>6175326100</v>
      </c>
      <c r="AB50" s="12" t="s">
        <v>235</v>
      </c>
      <c r="AC50" s="10">
        <v>1825457842</v>
      </c>
      <c r="AD50" s="10">
        <v>1045698</v>
      </c>
      <c r="AE50" s="1">
        <f t="shared" si="0"/>
        <v>1949824994</v>
      </c>
      <c r="AF50" s="5">
        <v>40315</v>
      </c>
    </row>
    <row r="51" spans="1:32" x14ac:dyDescent="0.3">
      <c r="A51" s="4">
        <v>243687</v>
      </c>
      <c r="B51" s="4" t="s">
        <v>0</v>
      </c>
      <c r="C51" s="5">
        <v>39362</v>
      </c>
      <c r="D51" s="4" t="s">
        <v>227</v>
      </c>
      <c r="E51" s="4">
        <v>7695</v>
      </c>
      <c r="F51" s="4" t="s">
        <v>228</v>
      </c>
      <c r="G51" s="4" t="s">
        <v>229</v>
      </c>
      <c r="H51" s="12" t="s">
        <v>236</v>
      </c>
      <c r="I51" s="8">
        <v>28387</v>
      </c>
      <c r="J51" s="4">
        <v>44</v>
      </c>
      <c r="K51" s="9" t="s">
        <v>4</v>
      </c>
      <c r="L51" s="4">
        <v>0</v>
      </c>
      <c r="M51" s="9" t="s">
        <v>5</v>
      </c>
      <c r="N51" s="4"/>
      <c r="O51" s="4"/>
      <c r="P51" s="9" t="s">
        <v>6</v>
      </c>
      <c r="Q51" s="4" t="s">
        <v>206</v>
      </c>
      <c r="R51" s="4"/>
      <c r="S51" s="9" t="s">
        <v>4</v>
      </c>
      <c r="T51" s="4">
        <v>3</v>
      </c>
      <c r="U51" s="4" t="s">
        <v>8</v>
      </c>
      <c r="V51" s="4" t="s">
        <v>297</v>
      </c>
      <c r="W51" s="4" t="s">
        <v>298</v>
      </c>
      <c r="X51" s="4" t="s">
        <v>278</v>
      </c>
      <c r="Y51" s="4" t="s">
        <v>331</v>
      </c>
      <c r="Z51" s="4" t="s">
        <v>230</v>
      </c>
      <c r="AA51" s="4" t="s">
        <v>231</v>
      </c>
      <c r="AB51" s="12" t="s">
        <v>235</v>
      </c>
      <c r="AC51" s="10">
        <v>1350878654</v>
      </c>
      <c r="AD51" s="10">
        <v>1587422</v>
      </c>
      <c r="AE51" s="1">
        <f t="shared" si="0"/>
        <v>1475787530</v>
      </c>
      <c r="AF51" s="5">
        <v>39362</v>
      </c>
    </row>
    <row r="52" spans="1:32" x14ac:dyDescent="0.3">
      <c r="A52" s="4">
        <v>243690</v>
      </c>
      <c r="B52" s="4" t="s">
        <v>0</v>
      </c>
      <c r="C52" s="5">
        <v>39147</v>
      </c>
      <c r="D52" s="4" t="s">
        <v>220</v>
      </c>
      <c r="E52" s="4">
        <v>6053</v>
      </c>
      <c r="F52" s="4" t="s">
        <v>12</v>
      </c>
      <c r="G52" s="4" t="s">
        <v>232</v>
      </c>
      <c r="H52" s="12" t="s">
        <v>236</v>
      </c>
      <c r="I52" s="8">
        <v>28388</v>
      </c>
      <c r="J52" s="4">
        <v>44</v>
      </c>
      <c r="K52" s="9" t="s">
        <v>4</v>
      </c>
      <c r="L52" s="4">
        <v>0</v>
      </c>
      <c r="M52" s="9" t="s">
        <v>5</v>
      </c>
      <c r="N52" s="4"/>
      <c r="O52" s="4"/>
      <c r="P52" s="9" t="s">
        <v>6</v>
      </c>
      <c r="Q52" s="4" t="s">
        <v>206</v>
      </c>
      <c r="R52" s="4"/>
      <c r="S52" s="9" t="s">
        <v>4</v>
      </c>
      <c r="T52" s="4">
        <v>1</v>
      </c>
      <c r="U52" s="4" t="s">
        <v>8</v>
      </c>
      <c r="V52" s="4" t="s">
        <v>312</v>
      </c>
      <c r="W52" s="4" t="s">
        <v>313</v>
      </c>
      <c r="X52" s="4" t="s">
        <v>285</v>
      </c>
      <c r="Y52" s="4" t="s">
        <v>332</v>
      </c>
      <c r="Z52" s="4" t="s">
        <v>233</v>
      </c>
      <c r="AA52" s="4" t="s">
        <v>234</v>
      </c>
      <c r="AB52" s="12" t="s">
        <v>235</v>
      </c>
      <c r="AC52" s="10">
        <v>1425802317</v>
      </c>
      <c r="AD52" s="10">
        <v>1956684</v>
      </c>
      <c r="AE52" s="1">
        <f t="shared" si="0"/>
        <v>1551080455</v>
      </c>
      <c r="AF52" s="5">
        <v>39147</v>
      </c>
    </row>
    <row r="53" spans="1:32" x14ac:dyDescent="0.3">
      <c r="E53" s="4"/>
      <c r="AB53" s="12"/>
    </row>
    <row r="54" spans="1:32" x14ac:dyDescent="0.3">
      <c r="E54" s="4"/>
      <c r="AB54" s="12"/>
    </row>
    <row r="55" spans="1:32" x14ac:dyDescent="0.3">
      <c r="E55" s="4"/>
      <c r="AB55" s="12"/>
    </row>
    <row r="56" spans="1:32" x14ac:dyDescent="0.3">
      <c r="D56" s="5"/>
      <c r="E56" s="4"/>
      <c r="AB56" s="12"/>
    </row>
    <row r="57" spans="1:32" x14ac:dyDescent="0.3">
      <c r="D57" s="5"/>
      <c r="E57" s="4"/>
    </row>
    <row r="58" spans="1:32" x14ac:dyDescent="0.3">
      <c r="D58" s="5"/>
      <c r="E58" s="4"/>
    </row>
    <row r="59" spans="1:32" x14ac:dyDescent="0.3">
      <c r="D59" s="5"/>
      <c r="E59" s="4"/>
    </row>
    <row r="60" spans="1:32" x14ac:dyDescent="0.3">
      <c r="D60" s="5"/>
      <c r="E60" s="4"/>
    </row>
    <row r="61" spans="1:32" x14ac:dyDescent="0.3">
      <c r="D61" s="5"/>
      <c r="E61" s="4"/>
    </row>
    <row r="62" spans="1:32" x14ac:dyDescent="0.3">
      <c r="D62" s="5"/>
    </row>
    <row r="63" spans="1:32" x14ac:dyDescent="0.3">
      <c r="D63" s="5"/>
    </row>
    <row r="64" spans="1:32" x14ac:dyDescent="0.3">
      <c r="D64" s="5"/>
    </row>
    <row r="65" spans="4:4" x14ac:dyDescent="0.3">
      <c r="D65" s="5"/>
    </row>
    <row r="66" spans="4:4" x14ac:dyDescent="0.3">
      <c r="D66" s="5"/>
    </row>
    <row r="67" spans="4:4" x14ac:dyDescent="0.3">
      <c r="D67" s="5"/>
    </row>
    <row r="68" spans="4:4" x14ac:dyDescent="0.3">
      <c r="D68" s="5"/>
    </row>
    <row r="69" spans="4:4" x14ac:dyDescent="0.3">
      <c r="D69" s="5"/>
    </row>
    <row r="70" spans="4:4" x14ac:dyDescent="0.3">
      <c r="D70" s="5"/>
    </row>
    <row r="71" spans="4:4" x14ac:dyDescent="0.3">
      <c r="D71" s="5"/>
    </row>
    <row r="72" spans="4:4" x14ac:dyDescent="0.3">
      <c r="D72" s="5"/>
    </row>
    <row r="73" spans="4:4" x14ac:dyDescent="0.3">
      <c r="D73" s="5"/>
    </row>
    <row r="74" spans="4:4" x14ac:dyDescent="0.3">
      <c r="D74" s="5"/>
    </row>
    <row r="75" spans="4:4" x14ac:dyDescent="0.3">
      <c r="D75" s="5"/>
    </row>
    <row r="76" spans="4:4" x14ac:dyDescent="0.3">
      <c r="D76" s="5"/>
    </row>
    <row r="77" spans="4:4" x14ac:dyDescent="0.3">
      <c r="D77" s="5"/>
    </row>
    <row r="78" spans="4:4" x14ac:dyDescent="0.3">
      <c r="D78" s="5"/>
    </row>
    <row r="79" spans="4:4" x14ac:dyDescent="0.3">
      <c r="D79" s="5"/>
    </row>
    <row r="80" spans="4:4" x14ac:dyDescent="0.3">
      <c r="D80" s="5"/>
    </row>
    <row r="81" spans="4:4" x14ac:dyDescent="0.3">
      <c r="D81" s="5"/>
    </row>
    <row r="82" spans="4:4" x14ac:dyDescent="0.3">
      <c r="D82" s="5"/>
    </row>
    <row r="83" spans="4:4" x14ac:dyDescent="0.3">
      <c r="D83" s="5"/>
    </row>
    <row r="84" spans="4:4" x14ac:dyDescent="0.3">
      <c r="D84" s="5"/>
    </row>
    <row r="85" spans="4:4" x14ac:dyDescent="0.3">
      <c r="D85" s="5"/>
    </row>
    <row r="86" spans="4:4" x14ac:dyDescent="0.3">
      <c r="D86" s="5"/>
    </row>
    <row r="87" spans="4:4" x14ac:dyDescent="0.3">
      <c r="D87" s="5"/>
    </row>
    <row r="88" spans="4:4" x14ac:dyDescent="0.3">
      <c r="D88" s="5"/>
    </row>
    <row r="89" spans="4:4" x14ac:dyDescent="0.3">
      <c r="D89" s="5"/>
    </row>
    <row r="90" spans="4:4" x14ac:dyDescent="0.3">
      <c r="D90" s="5"/>
    </row>
    <row r="91" spans="4:4" x14ac:dyDescent="0.3">
      <c r="D91" s="5"/>
    </row>
    <row r="92" spans="4:4" x14ac:dyDescent="0.3">
      <c r="D92" s="5"/>
    </row>
    <row r="93" spans="4:4" x14ac:dyDescent="0.3">
      <c r="D93" s="5"/>
    </row>
    <row r="94" spans="4:4" x14ac:dyDescent="0.3">
      <c r="D94" s="5"/>
    </row>
    <row r="95" spans="4:4" x14ac:dyDescent="0.3">
      <c r="D95" s="5"/>
    </row>
    <row r="96" spans="4:4" x14ac:dyDescent="0.3">
      <c r="D96" s="5"/>
    </row>
    <row r="97" spans="4:4" x14ac:dyDescent="0.3">
      <c r="D97" s="5"/>
    </row>
    <row r="98" spans="4:4" x14ac:dyDescent="0.3">
      <c r="D98" s="5"/>
    </row>
    <row r="99" spans="4:4" x14ac:dyDescent="0.3">
      <c r="D99" s="5"/>
    </row>
    <row r="100" spans="4:4" x14ac:dyDescent="0.3">
      <c r="D100" s="5"/>
    </row>
    <row r="101" spans="4:4" x14ac:dyDescent="0.3">
      <c r="D101" s="5"/>
    </row>
    <row r="102" spans="4:4" x14ac:dyDescent="0.3">
      <c r="D102" s="5"/>
    </row>
    <row r="103" spans="4:4" x14ac:dyDescent="0.3">
      <c r="D103" s="5"/>
    </row>
    <row r="104" spans="4:4" x14ac:dyDescent="0.3">
      <c r="D104" s="5"/>
    </row>
    <row r="105" spans="4:4" x14ac:dyDescent="0.3">
      <c r="D105" s="5"/>
    </row>
    <row r="106" spans="4:4" x14ac:dyDescent="0.3">
      <c r="D106" s="5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2FE6F0FC0A1479A3CDAA7475310D0" ma:contentTypeVersion="6" ma:contentTypeDescription="Create a new document." ma:contentTypeScope="" ma:versionID="4d85dc112ee26f1c3afaaab4a6100a80">
  <xsd:schema xmlns:xsd="http://www.w3.org/2001/XMLSchema" xmlns:xs="http://www.w3.org/2001/XMLSchema" xmlns:p="http://schemas.microsoft.com/office/2006/metadata/properties" xmlns:ns2="ca5426bc-05aa-4133-8d84-f7ffe61bb218" xmlns:ns3="5a666117-6b4c-4db1-8d6c-fa42fe017c1d" targetNamespace="http://schemas.microsoft.com/office/2006/metadata/properties" ma:root="true" ma:fieldsID="ff3b1da9a96bc2ee4b2b23c9e25b5e92" ns2:_="" ns3:_="">
    <xsd:import namespace="ca5426bc-05aa-4133-8d84-f7ffe61bb218"/>
    <xsd:import namespace="5a666117-6b4c-4db1-8d6c-fa42fe017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26bc-05aa-4133-8d84-f7ffe61bb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66117-6b4c-4db1-8d6c-fa42fe017c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D02AE-E02C-4126-B015-D857A77E15DE}">
  <ds:schemaRefs>
    <ds:schemaRef ds:uri="ca5426bc-05aa-4133-8d84-f7ffe61bb218"/>
    <ds:schemaRef ds:uri="http://schemas.microsoft.com/office/2006/documentManagement/types"/>
    <ds:schemaRef ds:uri="5a666117-6b4c-4db1-8d6c-fa42fe017c1d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B134C9-E509-4993-B814-FEEFD7448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85DDD-73FC-4A89-A0CE-995422D72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426bc-05aa-4133-8d84-f7ffe61bb218"/>
    <ds:schemaRef ds:uri="5a666117-6b4c-4db1-8d6c-fa42fe017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Mahajan</dc:creator>
  <cp:keywords/>
  <dc:description/>
  <cp:lastModifiedBy>Bivas Nath</cp:lastModifiedBy>
  <cp:revision/>
  <dcterms:created xsi:type="dcterms:W3CDTF">2021-12-02T12:24:49Z</dcterms:created>
  <dcterms:modified xsi:type="dcterms:W3CDTF">2024-02-13T09:24:42Z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0x01010057F2FE6F0FC0A1479A3CDAA7475310D0</vt:lpwstr>
  </property>
</Properties>
</file>